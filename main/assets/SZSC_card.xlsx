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project\eclipse_test\test\DATA\"/>
    </mc:Choice>
  </mc:AlternateContent>
  <xr:revisionPtr revIDLastSave="0" documentId="13_ncr:1_{0CF7F583-60DC-4575-85E0-9254B2B85331}" xr6:coauthVersionLast="47" xr6:coauthVersionMax="47" xr10:uidLastSave="{00000000-0000-0000-0000-000000000000}"/>
  <bookViews>
    <workbookView xWindow="-108" yWindow="-108" windowWidth="23256" windowHeight="12456" xr2:uid="{00000000-000D-0000-FFFF-FFFF00000000}"/>
  </bookViews>
  <sheets>
    <sheet name="general" sheetId="1" r:id="rId1"/>
    <sheet name="hide" sheetId="9" r:id="rId2"/>
    <sheet name="rule" sheetId="8" r:id="rId3"/>
    <sheet name="weapon" sheetId="2" r:id="rId4"/>
    <sheet name="buff" sheetId="4" r:id="rId5"/>
    <sheet name="event" sheetId="6" r:id="rId6"/>
    <sheet name="effect" sheetId="3" r:id="rId7"/>
  </sheets>
  <definedNames>
    <definedName name="_xlnm._FilterDatabase" localSheetId="6" hidden="1">effect!$A$1:$E$88</definedName>
    <definedName name="_xlnm._FilterDatabase" localSheetId="5" hidden="1">event!$A$1:$F$63</definedName>
    <definedName name="_xlnm._FilterDatabase" localSheetId="0" hidden="1">general!$A$1:$Z$175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1" i="1" l="1"/>
  <c r="F118" i="1"/>
  <c r="G118" i="1"/>
  <c r="H118" i="1"/>
  <c r="F119" i="1"/>
  <c r="G119" i="1"/>
  <c r="H119" i="1"/>
  <c r="F120" i="1"/>
  <c r="G120" i="1"/>
  <c r="H120" i="1"/>
  <c r="F121" i="1"/>
  <c r="G121" i="1"/>
  <c r="H121" i="1"/>
  <c r="F122" i="1"/>
  <c r="G122" i="1"/>
  <c r="H122" i="1"/>
  <c r="F123" i="1"/>
  <c r="G123" i="1"/>
  <c r="H123" i="1"/>
  <c r="F124" i="1"/>
  <c r="G124" i="1"/>
  <c r="H124" i="1"/>
  <c r="F125" i="1"/>
  <c r="G125" i="1"/>
  <c r="H125" i="1"/>
  <c r="F126" i="1"/>
  <c r="G126" i="1"/>
  <c r="H126" i="1"/>
  <c r="F127" i="1"/>
  <c r="G127" i="1"/>
  <c r="H127" i="1"/>
  <c r="F128" i="1"/>
  <c r="G128" i="1"/>
  <c r="H128" i="1"/>
  <c r="F129" i="1"/>
  <c r="G129" i="1"/>
  <c r="H129" i="1"/>
  <c r="F130" i="1"/>
  <c r="G130" i="1"/>
  <c r="H130" i="1"/>
  <c r="F131" i="1"/>
  <c r="G131" i="1"/>
  <c r="H131" i="1"/>
  <c r="F132" i="1"/>
  <c r="G132" i="1"/>
  <c r="H132" i="1"/>
  <c r="F133" i="1"/>
  <c r="G133" i="1"/>
  <c r="H133" i="1"/>
  <c r="F134" i="1"/>
  <c r="G134" i="1"/>
  <c r="H134" i="1"/>
  <c r="F135" i="1"/>
  <c r="G135" i="1"/>
  <c r="H135" i="1"/>
  <c r="F136" i="1"/>
  <c r="G136" i="1"/>
  <c r="H136" i="1"/>
  <c r="F137" i="1"/>
  <c r="G137" i="1"/>
  <c r="H137" i="1"/>
  <c r="F138" i="1"/>
  <c r="G138" i="1"/>
  <c r="H138" i="1"/>
  <c r="F139" i="1"/>
  <c r="G139" i="1"/>
  <c r="H139" i="1"/>
  <c r="F140" i="1"/>
  <c r="G140" i="1"/>
  <c r="H140" i="1"/>
  <c r="F141" i="1"/>
  <c r="G141" i="1"/>
  <c r="H141" i="1"/>
  <c r="F142" i="1"/>
  <c r="G142" i="1"/>
  <c r="H142" i="1"/>
  <c r="F143" i="1"/>
  <c r="G143" i="1"/>
  <c r="H143" i="1"/>
  <c r="F144" i="1"/>
  <c r="G144" i="1"/>
  <c r="H144" i="1"/>
  <c r="F145" i="1"/>
  <c r="G145" i="1"/>
  <c r="H145" i="1"/>
  <c r="F146" i="1"/>
  <c r="G146" i="1"/>
  <c r="H146" i="1"/>
  <c r="F147" i="1"/>
  <c r="G147" i="1"/>
  <c r="H147" i="1"/>
  <c r="F148" i="1"/>
  <c r="G148" i="1"/>
  <c r="H148" i="1"/>
  <c r="F149" i="1"/>
  <c r="G149" i="1"/>
  <c r="H149" i="1"/>
  <c r="F150" i="1"/>
  <c r="G150" i="1"/>
  <c r="H150" i="1"/>
  <c r="F151" i="1"/>
  <c r="G151" i="1"/>
  <c r="H151" i="1"/>
  <c r="F152" i="1"/>
  <c r="G152" i="1"/>
  <c r="H152" i="1"/>
  <c r="F153" i="1"/>
  <c r="G153" i="1"/>
  <c r="H153" i="1"/>
  <c r="F154" i="1"/>
  <c r="G154" i="1"/>
  <c r="H154" i="1"/>
  <c r="F155" i="1"/>
  <c r="G155" i="1"/>
  <c r="H155" i="1"/>
  <c r="F156" i="1"/>
  <c r="G156" i="1"/>
  <c r="H156" i="1"/>
  <c r="F157" i="1"/>
  <c r="G157" i="1"/>
  <c r="H157" i="1"/>
  <c r="F158" i="1"/>
  <c r="G158" i="1"/>
  <c r="H158" i="1"/>
  <c r="F159" i="1"/>
  <c r="G159" i="1"/>
  <c r="H159" i="1"/>
  <c r="F160" i="1"/>
  <c r="G160" i="1"/>
  <c r="H160" i="1"/>
  <c r="F161" i="1"/>
  <c r="G161" i="1"/>
  <c r="H161" i="1"/>
  <c r="F162" i="1"/>
  <c r="G162" i="1"/>
  <c r="H162" i="1"/>
  <c r="F163" i="1"/>
  <c r="G163" i="1"/>
  <c r="H163" i="1"/>
  <c r="F164" i="1"/>
  <c r="G164" i="1"/>
  <c r="H164" i="1"/>
  <c r="F165" i="1"/>
  <c r="G165" i="1"/>
  <c r="H165" i="1"/>
  <c r="F166" i="1"/>
  <c r="G166" i="1"/>
  <c r="H166" i="1"/>
  <c r="F167" i="1"/>
  <c r="G167" i="1"/>
  <c r="H167" i="1"/>
  <c r="F168" i="1"/>
  <c r="G168" i="1"/>
  <c r="H168" i="1"/>
  <c r="F169" i="1"/>
  <c r="G169" i="1"/>
  <c r="H169" i="1"/>
  <c r="F170" i="1"/>
  <c r="G170" i="1"/>
  <c r="H170" i="1"/>
  <c r="G171" i="1"/>
  <c r="H171" i="1"/>
  <c r="F172" i="1"/>
  <c r="G172" i="1"/>
  <c r="H172" i="1"/>
  <c r="F173" i="1"/>
  <c r="G173" i="1"/>
  <c r="H173" i="1"/>
  <c r="F174" i="1"/>
  <c r="G174" i="1"/>
  <c r="H174" i="1"/>
  <c r="F175" i="1"/>
  <c r="G175" i="1"/>
  <c r="H175" i="1"/>
  <c r="B2" i="9"/>
  <c r="D2" i="9"/>
  <c r="B3" i="9"/>
  <c r="D3" i="9"/>
  <c r="B4" i="9"/>
  <c r="D4" i="9"/>
  <c r="B5" i="9"/>
  <c r="D5" i="9"/>
  <c r="B6" i="9"/>
  <c r="D6" i="9"/>
  <c r="B7" i="9"/>
  <c r="D7" i="9"/>
  <c r="B8" i="9"/>
  <c r="D8" i="9"/>
  <c r="B9" i="9"/>
  <c r="D9" i="9"/>
  <c r="B10" i="9"/>
  <c r="D10" i="9"/>
  <c r="B11" i="9"/>
  <c r="D11" i="9"/>
  <c r="B12" i="9"/>
  <c r="D12" i="9"/>
  <c r="B13" i="9"/>
  <c r="D13" i="9"/>
  <c r="B14" i="9"/>
  <c r="D14" i="9"/>
  <c r="B15" i="9"/>
  <c r="D15" i="9"/>
  <c r="B16" i="9"/>
  <c r="D16" i="9"/>
  <c r="B17" i="9"/>
  <c r="D17" i="9"/>
  <c r="B18" i="9"/>
  <c r="D18" i="9"/>
  <c r="B19" i="9"/>
  <c r="D19" i="9"/>
  <c r="B20" i="9"/>
  <c r="D20" i="9"/>
  <c r="B21" i="9"/>
  <c r="D21" i="9"/>
  <c r="B22" i="9"/>
  <c r="D22" i="9"/>
  <c r="B23" i="9"/>
  <c r="D23" i="9"/>
  <c r="B24" i="9"/>
  <c r="D24" i="9"/>
  <c r="B25" i="9"/>
  <c r="D25" i="9"/>
  <c r="B26" i="9"/>
  <c r="D26" i="9"/>
  <c r="B27" i="9"/>
  <c r="D27" i="9"/>
  <c r="B28" i="9"/>
  <c r="D28" i="9"/>
  <c r="B29" i="9"/>
  <c r="D29" i="9"/>
  <c r="B30" i="9"/>
  <c r="D30" i="9"/>
  <c r="B31" i="9"/>
  <c r="D31" i="9"/>
  <c r="B32" i="9"/>
  <c r="D32" i="9"/>
  <c r="B33" i="9"/>
  <c r="D33" i="9"/>
  <c r="B34" i="9"/>
  <c r="D34" i="9"/>
  <c r="B35" i="9"/>
  <c r="D35" i="9"/>
  <c r="B36" i="9"/>
  <c r="D36" i="9"/>
  <c r="B37" i="9"/>
  <c r="D37" i="9"/>
  <c r="B38" i="9"/>
  <c r="D38" i="9"/>
  <c r="B39" i="9"/>
  <c r="D39" i="9"/>
  <c r="B40" i="9"/>
  <c r="D40" i="9"/>
  <c r="P15" i="1"/>
  <c r="H8" i="1"/>
  <c r="H11" i="1"/>
  <c r="F11" i="1"/>
  <c r="H45" i="1"/>
  <c r="C17" i="4"/>
  <c r="H20" i="1"/>
  <c r="F76" i="1"/>
  <c r="H14" i="1"/>
  <c r="H66" i="1"/>
  <c r="F3" i="1"/>
  <c r="F4" i="1"/>
  <c r="F5" i="1"/>
  <c r="F6" i="1"/>
  <c r="F7" i="1"/>
  <c r="F9" i="1"/>
  <c r="F10"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2" i="1"/>
  <c r="H2" i="1"/>
  <c r="H107" i="1"/>
  <c r="G18" i="1"/>
  <c r="H18"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27" i="1"/>
  <c r="G28" i="1"/>
  <c r="G29" i="1"/>
  <c r="G30" i="1"/>
  <c r="G13" i="1"/>
  <c r="G14" i="1"/>
  <c r="G15" i="1"/>
  <c r="G16" i="1"/>
  <c r="G17" i="1"/>
  <c r="G19" i="1"/>
  <c r="G20" i="1"/>
  <c r="G21" i="1"/>
  <c r="G22" i="1"/>
  <c r="G23" i="1"/>
  <c r="G24" i="1"/>
  <c r="G25" i="1"/>
  <c r="G26" i="1"/>
  <c r="G3" i="1"/>
  <c r="G4" i="1"/>
  <c r="G5" i="1"/>
  <c r="G6" i="1"/>
  <c r="G7" i="1"/>
  <c r="G9" i="1"/>
  <c r="G10" i="1"/>
  <c r="G12" i="1"/>
  <c r="G2" i="1"/>
  <c r="H5" i="2"/>
  <c r="H3" i="1"/>
  <c r="H4" i="1"/>
  <c r="H5" i="1"/>
  <c r="H6" i="1"/>
  <c r="H7" i="1"/>
  <c r="H9" i="1"/>
  <c r="H10" i="1"/>
  <c r="H12" i="1"/>
  <c r="H13" i="1"/>
  <c r="H16" i="1"/>
  <c r="H17" i="1"/>
  <c r="H19" i="1"/>
  <c r="H21" i="1"/>
  <c r="H22" i="1"/>
  <c r="H23" i="1"/>
  <c r="H24" i="1"/>
  <c r="H25" i="1"/>
  <c r="H26" i="1"/>
  <c r="H27" i="1"/>
  <c r="H28" i="1"/>
  <c r="H29" i="1"/>
  <c r="H30" i="1"/>
  <c r="H31" i="1"/>
  <c r="H32" i="1"/>
  <c r="H33" i="1"/>
  <c r="H34" i="1"/>
  <c r="H36" i="1"/>
  <c r="H37" i="1"/>
  <c r="H38" i="1"/>
  <c r="H39" i="1"/>
  <c r="H40" i="1"/>
  <c r="H41" i="1"/>
  <c r="H42" i="1"/>
  <c r="H44" i="1"/>
  <c r="H46" i="1"/>
  <c r="H48" i="1"/>
  <c r="H49" i="1"/>
  <c r="H50" i="1"/>
  <c r="H51" i="1"/>
  <c r="H52" i="1"/>
  <c r="H53" i="1"/>
  <c r="H54" i="1"/>
  <c r="H55" i="1"/>
  <c r="H56" i="1"/>
  <c r="H57" i="1"/>
  <c r="H58" i="1"/>
  <c r="H59" i="1"/>
  <c r="H60" i="1"/>
  <c r="H61" i="1"/>
  <c r="H62" i="1"/>
  <c r="H63" i="1"/>
  <c r="H64" i="1"/>
  <c r="H65"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8" i="1"/>
  <c r="H109" i="1"/>
  <c r="H110" i="1"/>
  <c r="H111" i="1"/>
  <c r="H112" i="1"/>
  <c r="H113" i="1"/>
  <c r="H114" i="1"/>
  <c r="H115" i="1"/>
  <c r="H116" i="1"/>
  <c r="H117" i="1"/>
  <c r="P35" i="1"/>
  <c r="H35" i="1" s="1"/>
  <c r="H4" i="2"/>
  <c r="H15" i="1"/>
  <c r="P43" i="1"/>
  <c r="H43" i="1" s="1"/>
  <c r="P47" i="1"/>
  <c r="H47" i="1" s="1"/>
  <c r="C23" i="4"/>
  <c r="C22" i="4"/>
  <c r="C21" i="4"/>
  <c r="C15" i="4"/>
  <c r="C12" i="4"/>
  <c r="C13" i="4"/>
  <c r="C14" i="4"/>
  <c r="C16" i="4"/>
  <c r="C18" i="4"/>
  <c r="C19" i="4"/>
  <c r="C20" i="4"/>
  <c r="C11" i="4"/>
  <c r="C3" i="4"/>
  <c r="C2" i="4"/>
  <c r="C4" i="4"/>
  <c r="C5" i="4"/>
  <c r="C7" i="4"/>
  <c r="C8" i="4"/>
  <c r="C9" i="4"/>
  <c r="J3" i="2"/>
  <c r="J4" i="2"/>
  <c r="J5" i="2"/>
  <c r="J6" i="2"/>
  <c r="J7" i="2"/>
  <c r="J8" i="2"/>
  <c r="J9" i="2"/>
  <c r="J10" i="2"/>
  <c r="J11" i="2"/>
  <c r="K3" i="2"/>
  <c r="K4" i="2"/>
  <c r="K5" i="2"/>
  <c r="K6" i="2"/>
  <c r="K7" i="2"/>
  <c r="K8" i="2"/>
  <c r="K9" i="2"/>
  <c r="K10" i="2"/>
  <c r="K11" i="2"/>
  <c r="K2" i="2"/>
  <c r="J2" i="2"/>
  <c r="I2" i="2"/>
  <c r="H2" i="2"/>
  <c r="H3" i="2"/>
  <c r="I3" i="2"/>
  <c r="I4" i="2"/>
  <c r="I5" i="2"/>
  <c r="H6" i="2"/>
  <c r="I6" i="2"/>
  <c r="H7" i="2"/>
  <c r="I7" i="2"/>
  <c r="H8" i="2"/>
  <c r="I8" i="2"/>
  <c r="H9" i="2"/>
  <c r="I9" i="2"/>
  <c r="H10" i="2"/>
  <c r="I10" i="2"/>
  <c r="H11" i="2"/>
  <c r="I11" i="2"/>
  <c r="B11" i="2"/>
  <c r="B10" i="2"/>
  <c r="B9" i="2"/>
  <c r="B8" i="2"/>
  <c r="B7" i="2"/>
  <c r="B6" i="2"/>
  <c r="B5" i="2"/>
  <c r="B4" i="2"/>
  <c r="B3" i="2"/>
  <c r="B2" i="2"/>
</calcChain>
</file>

<file path=xl/sharedStrings.xml><?xml version="1.0" encoding="utf-8"?>
<sst xmlns="http://schemas.openxmlformats.org/spreadsheetml/2006/main" count="2317" uniqueCount="823">
  <si>
    <t>连攻</t>
    <phoneticPr fontId="1" type="noConversion"/>
  </si>
  <si>
    <t>闪</t>
    <phoneticPr fontId="1" type="noConversion"/>
  </si>
  <si>
    <t>暗枪</t>
    <phoneticPr fontId="1" type="noConversion"/>
  </si>
  <si>
    <t>稻草人</t>
    <phoneticPr fontId="1" type="noConversion"/>
  </si>
  <si>
    <t>憎恨</t>
    <phoneticPr fontId="1" type="noConversion"/>
  </si>
  <si>
    <t>极天束</t>
    <phoneticPr fontId="1" type="noConversion"/>
  </si>
  <si>
    <t>蓝爆冰晶</t>
    <phoneticPr fontId="1" type="noConversion"/>
  </si>
  <si>
    <t>隐藏效果</t>
    <phoneticPr fontId="1" type="noConversion"/>
  </si>
  <si>
    <t>承皇剑</t>
    <phoneticPr fontId="1" type="noConversion"/>
  </si>
  <si>
    <t>装备</t>
    <phoneticPr fontId="1" type="noConversion"/>
  </si>
  <si>
    <t>name</t>
    <phoneticPr fontId="1" type="noConversion"/>
  </si>
  <si>
    <t>type</t>
    <phoneticPr fontId="1" type="noConversion"/>
  </si>
  <si>
    <t>No</t>
    <phoneticPr fontId="1" type="noConversion"/>
  </si>
  <si>
    <t>condition_description</t>
    <phoneticPr fontId="1" type="noConversion"/>
  </si>
  <si>
    <t>cost_description</t>
    <phoneticPr fontId="1" type="noConversion"/>
  </si>
  <si>
    <t>effect_description</t>
    <phoneticPr fontId="1" type="noConversion"/>
  </si>
  <si>
    <t>effect_value</t>
    <phoneticPr fontId="1" type="noConversion"/>
  </si>
  <si>
    <t>装备上武器</t>
    <phoneticPr fontId="1" type="noConversion"/>
  </si>
  <si>
    <t>疾风刃</t>
    <phoneticPr fontId="1" type="noConversion"/>
  </si>
  <si>
    <t>长者之镰</t>
    <phoneticPr fontId="1" type="noConversion"/>
  </si>
  <si>
    <t>噬剑之剑</t>
    <phoneticPr fontId="1" type="noConversion"/>
  </si>
  <si>
    <t>黑曜剑</t>
    <phoneticPr fontId="1" type="noConversion"/>
  </si>
  <si>
    <t>食腐再生装置</t>
    <phoneticPr fontId="1" type="noConversion"/>
  </si>
  <si>
    <t>恩空法棒</t>
    <phoneticPr fontId="1" type="noConversion"/>
  </si>
  <si>
    <t>骷髅诡面</t>
    <phoneticPr fontId="1" type="noConversion"/>
  </si>
  <si>
    <t>破败披风</t>
    <phoneticPr fontId="1" type="noConversion"/>
  </si>
  <si>
    <t>冠阳剜月斧</t>
    <phoneticPr fontId="1" type="noConversion"/>
  </si>
  <si>
    <t>幻影剑</t>
    <phoneticPr fontId="1" type="noConversion"/>
  </si>
  <si>
    <t>cost_value</t>
    <phoneticPr fontId="1" type="noConversion"/>
  </si>
  <si>
    <t>装备卡效果</t>
    <phoneticPr fontId="1" type="noConversion"/>
  </si>
  <si>
    <t>承皇剑1</t>
    <phoneticPr fontId="1" type="noConversion"/>
  </si>
  <si>
    <t>承皇剑2</t>
    <phoneticPr fontId="1" type="noConversion"/>
  </si>
  <si>
    <t>承皇剑3</t>
  </si>
  <si>
    <t>承皇剑0</t>
    <phoneticPr fontId="1" type="noConversion"/>
  </si>
  <si>
    <t>疾风刃0</t>
    <phoneticPr fontId="1" type="noConversion"/>
  </si>
  <si>
    <t>疾风刃1</t>
    <phoneticPr fontId="1" type="noConversion"/>
  </si>
  <si>
    <t>疾风刃2</t>
    <phoneticPr fontId="1" type="noConversion"/>
  </si>
  <si>
    <t>此回合自己攻+1</t>
    <phoneticPr fontId="1" type="noConversion"/>
  </si>
  <si>
    <t>长者之镰0</t>
    <phoneticPr fontId="1" type="noConversion"/>
  </si>
  <si>
    <t>长者之镰1</t>
    <phoneticPr fontId="1" type="noConversion"/>
  </si>
  <si>
    <t>长者之镰2</t>
    <phoneticPr fontId="1" type="noConversion"/>
  </si>
  <si>
    <t>噬剑之剑0</t>
    <phoneticPr fontId="1" type="noConversion"/>
  </si>
  <si>
    <t>噬剑之剑1</t>
    <phoneticPr fontId="1" type="noConversion"/>
  </si>
  <si>
    <t>随机破坏 与自己搏斗者 装备的1张装备卡</t>
    <phoneticPr fontId="1" type="noConversion"/>
  </si>
  <si>
    <t>噬剑之剑2</t>
  </si>
  <si>
    <t>自己主动将此武器破坏</t>
    <phoneticPr fontId="1" type="noConversion"/>
  </si>
  <si>
    <t>黑曜剑0</t>
    <phoneticPr fontId="1" type="noConversion"/>
  </si>
  <si>
    <t>黑曜剑1</t>
  </si>
  <si>
    <t>自己持续不死2轮回</t>
    <phoneticPr fontId="1" type="noConversion"/>
  </si>
  <si>
    <t>黑曜剑2</t>
  </si>
  <si>
    <t>食腐再生装置1</t>
    <phoneticPr fontId="1" type="noConversion"/>
  </si>
  <si>
    <t>食腐再生装置2</t>
    <phoneticPr fontId="1" type="noConversion"/>
  </si>
  <si>
    <t>食腐再生装置3</t>
  </si>
  <si>
    <t>恩空法棒1</t>
    <phoneticPr fontId="1" type="noConversion"/>
  </si>
  <si>
    <t>自己回合</t>
    <phoneticPr fontId="1" type="noConversion"/>
  </si>
  <si>
    <t>恩空法棒2</t>
    <phoneticPr fontId="1" type="noConversion"/>
  </si>
  <si>
    <t>骷髅诡面1</t>
    <phoneticPr fontId="1" type="noConversion"/>
  </si>
  <si>
    <t>自己不受该效果影响</t>
    <phoneticPr fontId="1" type="noConversion"/>
  </si>
  <si>
    <t>骷髅诡面2</t>
    <phoneticPr fontId="1" type="noConversion"/>
  </si>
  <si>
    <t>自己血量回满</t>
    <phoneticPr fontId="1" type="noConversion"/>
  </si>
  <si>
    <t>骷髅诡面3</t>
  </si>
  <si>
    <t>骷髅诡面4</t>
  </si>
  <si>
    <t>破败披风1</t>
    <phoneticPr fontId="1" type="noConversion"/>
  </si>
  <si>
    <t>自己格挡此次普攻</t>
    <phoneticPr fontId="1" type="noConversion"/>
  </si>
  <si>
    <t>自己格挡此次普攻，格挡第4次普攻后将此装备卡破坏</t>
    <phoneticPr fontId="1" type="noConversion"/>
  </si>
  <si>
    <t>破败披风2</t>
  </si>
  <si>
    <t>冠阳剜月斧1</t>
  </si>
  <si>
    <t>冠阳剜月斧2</t>
  </si>
  <si>
    <t>冠阳剜月斧0</t>
  </si>
  <si>
    <t>主被动</t>
    <phoneticPr fontId="1" type="noConversion"/>
  </si>
  <si>
    <t>是否token</t>
    <phoneticPr fontId="1" type="noConversion"/>
  </si>
  <si>
    <t>是</t>
    <phoneticPr fontId="1" type="noConversion"/>
  </si>
  <si>
    <t>添置类型（独立、叠加、覆盖）</t>
    <phoneticPr fontId="1" type="noConversion"/>
  </si>
  <si>
    <t>选发</t>
    <phoneticPr fontId="1" type="noConversion"/>
  </si>
  <si>
    <t>主动</t>
    <phoneticPr fontId="1" type="noConversion"/>
  </si>
  <si>
    <t>被动</t>
    <phoneticPr fontId="1" type="noConversion"/>
  </si>
  <si>
    <t>必发</t>
    <phoneticPr fontId="1" type="noConversion"/>
  </si>
  <si>
    <t>神起·焰射</t>
    <phoneticPr fontId="1" type="noConversion"/>
  </si>
  <si>
    <t>效果卡</t>
    <phoneticPr fontId="1" type="noConversion"/>
  </si>
  <si>
    <t>近击·搏杀</t>
  </si>
  <si>
    <t>阴势·突进</t>
  </si>
  <si>
    <t>神空·闪降</t>
  </si>
  <si>
    <t>空遁·闪回</t>
  </si>
  <si>
    <t>光斩·绝杀</t>
  </si>
  <si>
    <t>自己参与的1次事件连锁超过4次</t>
    <phoneticPr fontId="1" type="noConversion"/>
  </si>
  <si>
    <t>自己指定1人伤1血且此回合不能行动(对手可丢1卡躲避此效果)</t>
    <phoneticPr fontId="1" type="noConversion"/>
  </si>
  <si>
    <t>自己抽1卡,将抽到的该卡公开,自己这回合的规则性普攻次数被重置为1</t>
    <phoneticPr fontId="1" type="noConversion"/>
  </si>
  <si>
    <t>自己抽1卡且躲避此次普攻,自己可普攻 发动普攻者 1次</t>
    <phoneticPr fontId="1" type="noConversion"/>
  </si>
  <si>
    <t>光斩·绝杀1</t>
    <phoneticPr fontId="1" type="noConversion"/>
  </si>
  <si>
    <t>持续时长</t>
    <phoneticPr fontId="1" type="noConversion"/>
  </si>
  <si>
    <t>持续时间单位</t>
    <phoneticPr fontId="1" type="noConversion"/>
  </si>
  <si>
    <t>独立</t>
    <phoneticPr fontId="1" type="noConversion"/>
  </si>
  <si>
    <t>自己不受此次伤血影响</t>
    <phoneticPr fontId="1" type="noConversion"/>
  </si>
  <si>
    <t>回合</t>
    <phoneticPr fontId="1" type="noConversion"/>
  </si>
  <si>
    <t>增益效果</t>
    <phoneticPr fontId="1" type="noConversion"/>
  </si>
  <si>
    <t>天华绝伦</t>
    <phoneticPr fontId="1" type="noConversion"/>
  </si>
  <si>
    <t>神尚激光</t>
    <phoneticPr fontId="1" type="noConversion"/>
  </si>
  <si>
    <t>神尚激光1</t>
    <phoneticPr fontId="1" type="noConversion"/>
  </si>
  <si>
    <t>覆盖</t>
    <phoneticPr fontId="1" type="noConversion"/>
  </si>
  <si>
    <t>轰炸星球</t>
    <phoneticPr fontId="1" type="noConversion"/>
  </si>
  <si>
    <t>破坏场上所有场景卡和结界卡,每破坏1张,使 放置该卡者 伤2血</t>
    <phoneticPr fontId="1" type="noConversion"/>
  </si>
  <si>
    <t>最后的指望</t>
  </si>
  <si>
    <t>自己指定1人,将 自己全部手卡 加入他手卡</t>
    <phoneticPr fontId="1" type="noConversion"/>
  </si>
  <si>
    <t>双臂剑</t>
  </si>
  <si>
    <t>离心续</t>
  </si>
  <si>
    <t>离心续1</t>
    <phoneticPr fontId="1" type="noConversion"/>
  </si>
  <si>
    <t>此次普攻</t>
    <phoneticPr fontId="1" type="noConversion"/>
  </si>
  <si>
    <t>混虚·太清</t>
    <phoneticPr fontId="1" type="noConversion"/>
  </si>
  <si>
    <t>使 普攻者 血量减半,自己躲避本次普攻</t>
    <phoneticPr fontId="1" type="noConversion"/>
  </si>
  <si>
    <t>冷现·巨剑</t>
  </si>
  <si>
    <t>隐天盾</t>
  </si>
  <si>
    <t>2轮回内,自己可丢1卡 无效化1次对己的非自主效果伤血 或 格挡1次普攻</t>
    <phoneticPr fontId="1" type="noConversion"/>
  </si>
  <si>
    <t>隐天盾1</t>
    <phoneticPr fontId="1" type="noConversion"/>
  </si>
  <si>
    <t>隐天盾2</t>
    <phoneticPr fontId="1" type="noConversion"/>
  </si>
  <si>
    <t>破局·神击</t>
    <phoneticPr fontId="1" type="noConversion"/>
  </si>
  <si>
    <t>破局·神击1</t>
    <phoneticPr fontId="1" type="noConversion"/>
  </si>
  <si>
    <t>减益效果</t>
    <phoneticPr fontId="1" type="noConversion"/>
  </si>
  <si>
    <t>自己无法行动</t>
    <phoneticPr fontId="1" type="noConversion"/>
  </si>
  <si>
    <t>此次事件</t>
    <phoneticPr fontId="1" type="noConversion"/>
  </si>
  <si>
    <t>旋地·回击</t>
  </si>
  <si>
    <t>旋地·回击1</t>
    <phoneticPr fontId="1" type="noConversion"/>
  </si>
  <si>
    <t>幻影剑1</t>
    <phoneticPr fontId="1" type="noConversion"/>
  </si>
  <si>
    <t>决义·地割</t>
  </si>
  <si>
    <t>劈夺斩</t>
  </si>
  <si>
    <t>剑飞·回斩</t>
  </si>
  <si>
    <t>霸地·挥刃</t>
  </si>
  <si>
    <t>极寒加护</t>
  </si>
  <si>
    <t>雷霆加护</t>
  </si>
  <si>
    <t>炽焰加护</t>
  </si>
  <si>
    <t>流水加护</t>
    <phoneticPr fontId="1" type="noConversion"/>
  </si>
  <si>
    <t>神光加护</t>
  </si>
  <si>
    <t>冥幽加护</t>
  </si>
  <si>
    <t>神·空·斩</t>
  </si>
  <si>
    <t>助攻卡</t>
    <phoneticPr fontId="1" type="noConversion"/>
  </si>
  <si>
    <t>此次普攻自己攻+1,自己查看 被攻者 所有手卡,并选1张加入自己手卡,若选中装备卡则直接给自己装备上</t>
    <phoneticPr fontId="1" type="noConversion"/>
  </si>
  <si>
    <t>剑飞·回斩1</t>
    <phoneticPr fontId="1" type="noConversion"/>
  </si>
  <si>
    <t>剑飞·回斩2</t>
    <phoneticPr fontId="1" type="noConversion"/>
  </si>
  <si>
    <t>霸地·挥刃1</t>
    <phoneticPr fontId="1" type="noConversion"/>
  </si>
  <si>
    <t>极寒加护1</t>
    <phoneticPr fontId="1" type="noConversion"/>
  </si>
  <si>
    <t>此次普攻自己攻+2,普攻成功后30%使被普攻者装备的武器全部破坏</t>
    <phoneticPr fontId="1" type="noConversion"/>
  </si>
  <si>
    <t>此次普攻无法被躲避、格挡，自己总攻击力减半且变为穿攻</t>
    <phoneticPr fontId="1" type="noConversion"/>
  </si>
  <si>
    <t>雷霆加护1</t>
    <phoneticPr fontId="1" type="noConversion"/>
  </si>
  <si>
    <t>此次普攻自己攻+1,普攻成功后使对手伤1血</t>
    <phoneticPr fontId="1" type="noConversion"/>
  </si>
  <si>
    <t>炽焰加护1</t>
    <phoneticPr fontId="1" type="noConversion"/>
  </si>
  <si>
    <t>流水加护1</t>
    <phoneticPr fontId="1" type="noConversion"/>
  </si>
  <si>
    <t>+4血</t>
    <phoneticPr fontId="1" type="noConversion"/>
  </si>
  <si>
    <t>自己选一以下效果进行发动：
(1)指定1人的人物效果一轮回内无法发动
(2)破坏场上一张 装备卡 或 场景卡 或 结界卡
(3)非人物卡 发动无效并破坏</t>
    <phoneticPr fontId="1" type="noConversion"/>
  </si>
  <si>
    <t>positive</t>
    <phoneticPr fontId="1" type="noConversion"/>
  </si>
  <si>
    <t>神光加护1</t>
    <phoneticPr fontId="1" type="noConversion"/>
  </si>
  <si>
    <t>此次普攻自己攻+1,自己普攻成功时自己抽1卡</t>
    <phoneticPr fontId="1" type="noConversion"/>
  </si>
  <si>
    <t>冥幽加护1</t>
    <phoneticPr fontId="1" type="noConversion"/>
  </si>
  <si>
    <t>神·空·斩1</t>
    <phoneticPr fontId="1" type="noConversion"/>
  </si>
  <si>
    <t>神·空·斩2</t>
    <phoneticPr fontId="1" type="noConversion"/>
  </si>
  <si>
    <t>此次普攻无法被躲避、格挡</t>
    <phoneticPr fontId="1" type="noConversion"/>
  </si>
  <si>
    <t>神·空·斩3</t>
    <phoneticPr fontId="1" type="noConversion"/>
  </si>
  <si>
    <t>此次效果伤血</t>
    <phoneticPr fontId="1" type="noConversion"/>
  </si>
  <si>
    <t>effect1</t>
    <phoneticPr fontId="1" type="noConversion"/>
  </si>
  <si>
    <t>effect2</t>
    <phoneticPr fontId="1" type="noConversion"/>
  </si>
  <si>
    <t>effect3</t>
  </si>
  <si>
    <t>effect4</t>
  </si>
  <si>
    <t>effect5</t>
  </si>
  <si>
    <t>e1</t>
    <phoneticPr fontId="1" type="noConversion"/>
  </si>
  <si>
    <t>e2</t>
    <phoneticPr fontId="1" type="noConversion"/>
  </si>
  <si>
    <t>e3</t>
    <phoneticPr fontId="1" type="noConversion"/>
  </si>
  <si>
    <t>e4</t>
    <phoneticPr fontId="1" type="noConversion"/>
  </si>
  <si>
    <t>e5</t>
    <phoneticPr fontId="1" type="noConversion"/>
  </si>
  <si>
    <t>霸地·挥刃2</t>
    <phoneticPr fontId="1" type="noConversion"/>
  </si>
  <si>
    <t>description</t>
    <phoneticPr fontId="1" type="noConversion"/>
  </si>
  <si>
    <t>攻+?</t>
    <phoneticPr fontId="1" type="noConversion"/>
  </si>
  <si>
    <t>是否buff</t>
    <phoneticPr fontId="1" type="noConversion"/>
  </si>
  <si>
    <t>buff</t>
    <phoneticPr fontId="1" type="noConversion"/>
  </si>
  <si>
    <t>Buff_type_independent</t>
    <phoneticPr fontId="1" type="noConversion"/>
  </si>
  <si>
    <t>Buff_type_overlay</t>
    <phoneticPr fontId="1" type="noConversion"/>
  </si>
  <si>
    <t>叠加</t>
    <phoneticPr fontId="1" type="noConversion"/>
  </si>
  <si>
    <t>Buff_type_reset</t>
    <phoneticPr fontId="1" type="noConversion"/>
  </si>
  <si>
    <t xml:space="preserve">trigger_mandatory </t>
    <phoneticPr fontId="1" type="noConversion"/>
  </si>
  <si>
    <t>trigger_optional</t>
    <phoneticPr fontId="1" type="noConversion"/>
  </si>
  <si>
    <t>negative</t>
    <phoneticPr fontId="1" type="noConversion"/>
  </si>
  <si>
    <t>适用选项列</t>
    <phoneticPr fontId="1" type="noConversion"/>
  </si>
  <si>
    <t>英文说明</t>
    <phoneticPr fontId="1" type="noConversion"/>
  </si>
  <si>
    <t>中文说明</t>
    <phoneticPr fontId="1" type="noConversion"/>
  </si>
  <si>
    <t/>
  </si>
  <si>
    <t>是</t>
  </si>
  <si>
    <t>被动</t>
  </si>
  <si>
    <t>必发</t>
  </si>
  <si>
    <t>主动</t>
  </si>
  <si>
    <t>this_time_get_card</t>
    <phoneticPr fontId="1" type="noConversion"/>
  </si>
  <si>
    <t>此次抽卡</t>
    <phoneticPr fontId="1" type="noConversion"/>
  </si>
  <si>
    <t>此次普攻</t>
  </si>
  <si>
    <t>回合</t>
  </si>
  <si>
    <t>duration_turn</t>
  </si>
  <si>
    <t>轮回</t>
  </si>
  <si>
    <t>duration_cycle</t>
  </si>
  <si>
    <t>此次伤血</t>
    <phoneticPr fontId="1" type="noConversion"/>
  </si>
  <si>
    <t>condition_value</t>
    <phoneticPr fontId="1" type="noConversion"/>
  </si>
  <si>
    <t>武器常驻</t>
  </si>
  <si>
    <t>武器常驻</t>
    <phoneticPr fontId="1" type="noConversion"/>
  </si>
  <si>
    <t>duration_permanent</t>
    <phoneticPr fontId="1" type="noConversion"/>
  </si>
  <si>
    <t>duration_permanent_selfeffect</t>
    <phoneticPr fontId="1" type="noConversion"/>
  </si>
  <si>
    <t>duration_permanent_weaponeffect</t>
    <phoneticPr fontId="1" type="noConversion"/>
  </si>
  <si>
    <t>解释</t>
    <phoneticPr fontId="1" type="noConversion"/>
  </si>
  <si>
    <t>个人武器技能效果</t>
    <phoneticPr fontId="1" type="noConversion"/>
  </si>
  <si>
    <t>个人自身效果</t>
    <phoneticPr fontId="1" type="noConversion"/>
  </si>
  <si>
    <t>极寒加护2</t>
    <phoneticPr fontId="1" type="noConversion"/>
  </si>
  <si>
    <t>雷霆加护2</t>
    <phoneticPr fontId="1" type="noConversion"/>
  </si>
  <si>
    <t>炽焰加护2</t>
    <phoneticPr fontId="1" type="noConversion"/>
  </si>
  <si>
    <t>流水加护2</t>
    <phoneticPr fontId="1" type="noConversion"/>
  </si>
  <si>
    <t>神光加护2</t>
    <phoneticPr fontId="1" type="noConversion"/>
  </si>
  <si>
    <t>冥幽加护2</t>
    <phoneticPr fontId="1" type="noConversion"/>
  </si>
  <si>
    <t>1回合</t>
    <phoneticPr fontId="1" type="noConversion"/>
  </si>
  <si>
    <t>此次普攻结束</t>
    <phoneticPr fontId="1" type="noConversion"/>
  </si>
  <si>
    <t>强制结束事件</t>
    <phoneticPr fontId="1" type="noConversion"/>
  </si>
  <si>
    <t>强制结束回合</t>
    <phoneticPr fontId="1" type="noConversion"/>
  </si>
  <si>
    <t>回合结束</t>
    <phoneticPr fontId="1" type="noConversion"/>
  </si>
  <si>
    <t>事件发生</t>
    <phoneticPr fontId="1" type="noConversion"/>
  </si>
  <si>
    <t>event_happen</t>
  </si>
  <si>
    <t>i_will_attack</t>
  </si>
  <si>
    <t>i_will_be_attacked</t>
  </si>
  <si>
    <t>i_be_attacked</t>
  </si>
  <si>
    <t>此次游戏</t>
    <phoneticPr fontId="1" type="noConversion"/>
  </si>
  <si>
    <t>限制类型</t>
    <phoneticPr fontId="1" type="noConversion"/>
  </si>
  <si>
    <t>限制次数</t>
    <phoneticPr fontId="1" type="noConversion"/>
  </si>
  <si>
    <t>自己受到自主伤血效果</t>
  </si>
  <si>
    <t>自己普攻成功或自己回合自己未处于搏斗状态</t>
  </si>
  <si>
    <t>自己即将受到普攻</t>
  </si>
  <si>
    <t>自己普攻成功</t>
  </si>
  <si>
    <t>己方回合自己未处于搏斗</t>
  </si>
  <si>
    <t>自己普攻失败</t>
  </si>
  <si>
    <t>自己即将受到致命伤血</t>
  </si>
  <si>
    <t>此回合自己成功普攻超过2次且自己普攻成功</t>
  </si>
  <si>
    <t>自己武器槽未满</t>
  </si>
  <si>
    <t>自己受到普攻</t>
  </si>
  <si>
    <t>自己装备有武器</t>
  </si>
  <si>
    <t>自己即将受到伤血</t>
  </si>
  <si>
    <t>自己受到致命伤血</t>
  </si>
  <si>
    <t>自己即将受到非自主效果伤血</t>
  </si>
  <si>
    <t>自己即将受到“无法行动”效果</t>
  </si>
  <si>
    <t>自己每抽1卡</t>
  </si>
  <si>
    <t>自己即将受到伤血效果</t>
  </si>
  <si>
    <t>自己发动普攻</t>
  </si>
  <si>
    <t>自己丢卡</t>
  </si>
  <si>
    <t>自己效果发动失败</t>
    <phoneticPr fontId="1" type="noConversion"/>
  </si>
  <si>
    <t>自己未能成功造成伤害</t>
    <phoneticPr fontId="1" type="noConversion"/>
  </si>
  <si>
    <t>自己未能成功造成效果伤血</t>
    <phoneticPr fontId="1" type="noConversion"/>
  </si>
  <si>
    <t>自己普攻被格挡</t>
    <phoneticPr fontId="1" type="noConversion"/>
  </si>
  <si>
    <t>自己普攻被躲避</t>
    <phoneticPr fontId="1" type="noConversion"/>
  </si>
  <si>
    <t>场合</t>
    <phoneticPr fontId="1" type="noConversion"/>
  </si>
  <si>
    <t>状态</t>
    <phoneticPr fontId="1" type="noConversion"/>
  </si>
  <si>
    <t>自己放弃行动</t>
    <phoneticPr fontId="1" type="noConversion"/>
  </si>
  <si>
    <t>自己参与搏斗</t>
    <phoneticPr fontId="1" type="noConversion"/>
  </si>
  <si>
    <t>自己因他人效果进行丢卡</t>
    <phoneticPr fontId="1" type="noConversion"/>
  </si>
  <si>
    <t>自己即将丢卡</t>
    <phoneticPr fontId="1" type="noConversion"/>
  </si>
  <si>
    <t>自己回合自己成功发动手卡</t>
    <phoneticPr fontId="1" type="noConversion"/>
  </si>
  <si>
    <t>是</t>
    <phoneticPr fontId="1" type="noConversion"/>
  </si>
  <si>
    <t>时间点</t>
    <phoneticPr fontId="1" type="noConversion"/>
  </si>
  <si>
    <t>Result_force_end_event</t>
    <phoneticPr fontId="1" type="noConversion"/>
  </si>
  <si>
    <t>Result_force_end_turn</t>
    <phoneticPr fontId="1" type="noConversion"/>
  </si>
  <si>
    <t>Time_turn_end</t>
    <phoneticPr fontId="1" type="noConversion"/>
  </si>
  <si>
    <t>someone_dead</t>
    <phoneticPr fontId="1" type="noConversion"/>
  </si>
  <si>
    <t>Time_attack_end</t>
    <phoneticPr fontId="1" type="noConversion"/>
  </si>
  <si>
    <t>i_will_be_fatal_dmg</t>
    <phoneticPr fontId="1" type="noConversion"/>
  </si>
  <si>
    <t>i_will_be_effect_dmg</t>
    <phoneticPr fontId="1" type="noConversion"/>
  </si>
  <si>
    <t>i_will_be_effect_positive</t>
    <phoneticPr fontId="1" type="noConversion"/>
  </si>
  <si>
    <t>i_will_be_dmg</t>
    <phoneticPr fontId="1" type="noConversion"/>
  </si>
  <si>
    <t>STATE_i_have_weapon_equipped</t>
    <phoneticPr fontId="1" type="noConversion"/>
  </si>
  <si>
    <t>i_success_do_dmg</t>
    <phoneticPr fontId="1" type="noConversion"/>
  </si>
  <si>
    <t>i_be_discard_card_passive</t>
    <phoneticPr fontId="1" type="noConversion"/>
  </si>
  <si>
    <t>i_failed_launch_effect</t>
    <phoneticPr fontId="1" type="noConversion"/>
  </si>
  <si>
    <t>STATE_i_weapon_not_full</t>
    <phoneticPr fontId="1" type="noConversion"/>
  </si>
  <si>
    <t>i_failed_do_dmg</t>
    <phoneticPr fontId="1" type="noConversion"/>
  </si>
  <si>
    <t>i_failed_do_dmg_effect</t>
    <phoneticPr fontId="1" type="noConversion"/>
  </si>
  <si>
    <t>i_be_dmg_effect_positive</t>
    <phoneticPr fontId="1" type="noConversion"/>
  </si>
  <si>
    <t>i_be_fatal_dmg</t>
    <phoneticPr fontId="1" type="noConversion"/>
  </si>
  <si>
    <t>i_be_dmg_effect_passive</t>
    <phoneticPr fontId="1" type="noConversion"/>
  </si>
  <si>
    <t>i_be_dmg_effect</t>
    <phoneticPr fontId="1" type="noConversion"/>
  </si>
  <si>
    <t>自己受到非自主伤血效果</t>
    <phoneticPr fontId="1" type="noConversion"/>
  </si>
  <si>
    <t>自己受到伤血效果</t>
    <phoneticPr fontId="1" type="noConversion"/>
  </si>
  <si>
    <t>i_used_card</t>
    <phoneticPr fontId="1" type="noConversion"/>
  </si>
  <si>
    <t>自己发动手卡</t>
    <phoneticPr fontId="1" type="noConversion"/>
  </si>
  <si>
    <t>i_failed_attack</t>
    <phoneticPr fontId="1" type="noConversion"/>
  </si>
  <si>
    <t>i_success_attack_or_my_turn_positive</t>
    <phoneticPr fontId="1" type="noConversion"/>
  </si>
  <si>
    <t>i_success_attack</t>
    <phoneticPr fontId="1" type="noConversion"/>
  </si>
  <si>
    <t>i_failed_attack_be_defend</t>
    <phoneticPr fontId="1" type="noConversion"/>
  </si>
  <si>
    <t>i_failed_attack_be_escape</t>
    <phoneticPr fontId="1" type="noConversion"/>
  </si>
  <si>
    <t>自己抽卡</t>
    <phoneticPr fontId="1" type="noConversion"/>
  </si>
  <si>
    <t>i_will_die</t>
    <phoneticPr fontId="1" type="noConversion"/>
  </si>
  <si>
    <t>自己即将死亡</t>
    <phoneticPr fontId="1" type="noConversion"/>
  </si>
  <si>
    <t>i_will_be_dmg_effect_passive</t>
    <phoneticPr fontId="1" type="noConversion"/>
  </si>
  <si>
    <t>i_will_be_effect_unmovable</t>
    <phoneticPr fontId="1" type="noConversion"/>
  </si>
  <si>
    <t>i_will_be_effect_public_card</t>
    <phoneticPr fontId="1" type="noConversion"/>
  </si>
  <si>
    <t>自己即将受到"公开手卡"效果</t>
    <phoneticPr fontId="1" type="noConversion"/>
  </si>
  <si>
    <t>i_will_be_effect_discard_card_positive</t>
    <phoneticPr fontId="1" type="noConversion"/>
  </si>
  <si>
    <t>自己即将受到"自主丢卡"效果</t>
    <phoneticPr fontId="1" type="noConversion"/>
  </si>
  <si>
    <t>i_will_be_effect_discard_card_passive</t>
    <phoneticPr fontId="1" type="noConversion"/>
  </si>
  <si>
    <t>自己即将受到"非自主丢卡"效果</t>
    <phoneticPr fontId="1" type="noConversion"/>
  </si>
  <si>
    <t>i_success_use_card_in_my_turn</t>
    <phoneticPr fontId="1" type="noConversion"/>
  </si>
  <si>
    <t>可以</t>
    <phoneticPr fontId="1" type="noConversion"/>
  </si>
  <si>
    <t>i_success_get_card</t>
    <phoneticPr fontId="1" type="noConversion"/>
  </si>
  <si>
    <t>i_success_get_one_card</t>
    <phoneticPr fontId="1" type="noConversion"/>
  </si>
  <si>
    <t>STATE_my_turn</t>
    <phoneticPr fontId="1" type="noConversion"/>
  </si>
  <si>
    <t>STATE_my_turn_positive</t>
    <phoneticPr fontId="1" type="noConversion"/>
  </si>
  <si>
    <t>CHOICE_i_cancel_action</t>
    <phoneticPr fontId="1" type="noConversion"/>
  </si>
  <si>
    <t>i_success_do_dmg_effect</t>
    <phoneticPr fontId="1" type="noConversion"/>
  </si>
  <si>
    <t>i_be_discard_card</t>
    <phoneticPr fontId="1" type="noConversion"/>
  </si>
  <si>
    <t>STATE_i_involve_event_over_4_chains</t>
    <phoneticPr fontId="1" type="noConversion"/>
  </si>
  <si>
    <t>i_success_do_fight</t>
    <phoneticPr fontId="1" type="noConversion"/>
  </si>
  <si>
    <t>STATE_team_turn_i_positive</t>
    <phoneticPr fontId="1" type="noConversion"/>
  </si>
  <si>
    <t>i_success_attack_over_3_times</t>
    <phoneticPr fontId="1" type="noConversion"/>
  </si>
  <si>
    <t>STATE_my_turn_positive_weapon_not_full</t>
    <phoneticPr fontId="1" type="noConversion"/>
  </si>
  <si>
    <t>时间限制(谁的回合)</t>
    <phoneticPr fontId="1" type="noConversion"/>
  </si>
  <si>
    <t>主体</t>
    <phoneticPr fontId="1" type="noConversion"/>
  </si>
  <si>
    <t>主被动</t>
    <phoneticPr fontId="1" type="noConversion"/>
  </si>
  <si>
    <t>other_dead</t>
    <phoneticPr fontId="1" type="noConversion"/>
  </si>
  <si>
    <t>other_use_card</t>
    <phoneticPr fontId="1" type="noConversion"/>
  </si>
  <si>
    <t>除己外有人使用手卡</t>
    <phoneticPr fontId="1" type="noConversion"/>
  </si>
  <si>
    <t>除己外有人死亡</t>
    <phoneticPr fontId="1" type="noConversion"/>
  </si>
  <si>
    <t>i_will_discard_card</t>
    <phoneticPr fontId="1" type="noConversion"/>
  </si>
  <si>
    <t>时态（即将/当前）</t>
    <phoneticPr fontId="1" type="noConversion"/>
  </si>
  <si>
    <t>i_success_use_card</t>
    <phoneticPr fontId="1" type="noConversion"/>
  </si>
  <si>
    <t>自己成功发动手卡</t>
    <phoneticPr fontId="1" type="noConversion"/>
  </si>
  <si>
    <t>i_will_be_effect</t>
    <phoneticPr fontId="1" type="noConversion"/>
  </si>
  <si>
    <t>自己即将受到效果</t>
    <phoneticPr fontId="1" type="noConversion"/>
  </si>
  <si>
    <t>己方回合</t>
    <phoneticPr fontId="1" type="noConversion"/>
  </si>
  <si>
    <t>主动</t>
    <phoneticPr fontId="1" type="noConversion"/>
  </si>
  <si>
    <t>自己</t>
    <phoneticPr fontId="1" type="noConversion"/>
  </si>
  <si>
    <t>当前</t>
    <phoneticPr fontId="1" type="noConversion"/>
  </si>
  <si>
    <t>自己回合自己未处于搏斗</t>
    <phoneticPr fontId="1" type="noConversion"/>
  </si>
  <si>
    <t>未处于搏斗</t>
    <phoneticPr fontId="1" type="noConversion"/>
  </si>
  <si>
    <t>自己回合自己未处于搏斗且自己武器槽未满</t>
    <phoneticPr fontId="1" type="noConversion"/>
  </si>
  <si>
    <t>未处于搏斗且自己武器槽未满</t>
    <phoneticPr fontId="1" type="noConversion"/>
  </si>
  <si>
    <t>武器槽未满</t>
    <phoneticPr fontId="1" type="noConversion"/>
  </si>
  <si>
    <t>具体要求</t>
    <phoneticPr fontId="1" type="noConversion"/>
  </si>
  <si>
    <t>此次普攻自己装备的所有武器无效化,普攻结束后武器重新有效化且对手受到自己当前武器数量×2的伤血</t>
    <phoneticPr fontId="1" type="noConversion"/>
  </si>
  <si>
    <t>自己指定1人伤?血</t>
    <phoneticPr fontId="1" type="noConversion"/>
  </si>
  <si>
    <t>自己回复?血</t>
    <phoneticPr fontId="1" type="noConversion"/>
  </si>
  <si>
    <t>自己指定1人回复?血</t>
    <phoneticPr fontId="1" type="noConversion"/>
  </si>
  <si>
    <t>卡片效果</t>
    <phoneticPr fontId="1" type="noConversion"/>
  </si>
  <si>
    <t>元效果</t>
    <phoneticPr fontId="1" type="noConversion"/>
  </si>
  <si>
    <t>自己指定1人50%伤?血</t>
    <phoneticPr fontId="1" type="noConversion"/>
  </si>
  <si>
    <t>自己对 被普攻者 进行1次普攻,此次普攻造成的普攻伤血翻倍</t>
    <phoneticPr fontId="1" type="noConversion"/>
  </si>
  <si>
    <t>自己不死</t>
    <phoneticPr fontId="1" type="noConversion"/>
  </si>
  <si>
    <t>自己指定1人3次50%伤1血，若全中则其装备全部被破坏</t>
    <phoneticPr fontId="1" type="noConversion"/>
  </si>
  <si>
    <t>卡堆最上方?张卡送入废卡区</t>
    <phoneticPr fontId="1" type="noConversion"/>
  </si>
  <si>
    <t>自己躲避本次普攻</t>
    <phoneticPr fontId="1" type="noConversion"/>
  </si>
  <si>
    <t>效果1</t>
    <phoneticPr fontId="1" type="noConversion"/>
  </si>
  <si>
    <t>value1</t>
    <phoneticPr fontId="1" type="noConversion"/>
  </si>
  <si>
    <t>效果2</t>
    <phoneticPr fontId="1" type="noConversion"/>
  </si>
  <si>
    <t>value2</t>
    <phoneticPr fontId="1" type="noConversion"/>
  </si>
  <si>
    <t>效果3</t>
    <phoneticPr fontId="1" type="noConversion"/>
  </si>
  <si>
    <t>value3</t>
    <phoneticPr fontId="1" type="noConversion"/>
  </si>
  <si>
    <t>效果4</t>
    <phoneticPr fontId="1" type="noConversion"/>
  </si>
  <si>
    <t>value4</t>
    <phoneticPr fontId="1" type="noConversion"/>
  </si>
  <si>
    <t>Buff_unmovable</t>
    <phoneticPr fontId="1" type="noConversion"/>
  </si>
  <si>
    <t>Buff_extra_attack_power</t>
    <phoneticPr fontId="1" type="noConversion"/>
  </si>
  <si>
    <t>将自己抽到的卡公开</t>
    <phoneticPr fontId="1" type="noConversion"/>
  </si>
  <si>
    <t>Buff_immortal</t>
    <phoneticPr fontId="1" type="noConversion"/>
  </si>
  <si>
    <t>Buff_immune</t>
    <phoneticPr fontId="1" type="noConversion"/>
  </si>
  <si>
    <t>此次伤血无效化且此回合自己攻击力翻倍，自己可对其进行1次普攻</t>
    <phoneticPr fontId="1" type="noConversion"/>
  </si>
  <si>
    <t>Effect_get_buff_myself</t>
    <phoneticPr fontId="1" type="noConversion"/>
  </si>
  <si>
    <t>Effect_get_buff_one_enemy</t>
    <phoneticPr fontId="1" type="noConversion"/>
  </si>
  <si>
    <t>Effect_i_point_one_get_heal</t>
    <phoneticPr fontId="1" type="noConversion"/>
  </si>
  <si>
    <t>Effect_equip_weapon</t>
    <phoneticPr fontId="1" type="noConversion"/>
  </si>
  <si>
    <t>Effect_i_recover_to_limit</t>
    <phoneticPr fontId="1" type="noConversion"/>
  </si>
  <si>
    <t>Effect_hatred</t>
    <phoneticPr fontId="1" type="noConversion"/>
  </si>
  <si>
    <t>Effect_i_recover</t>
    <phoneticPr fontId="1" type="noConversion"/>
  </si>
  <si>
    <t>Effect_i_defend_attack</t>
    <phoneticPr fontId="1" type="noConversion"/>
  </si>
  <si>
    <t>Effect_i_claim_attack</t>
    <phoneticPr fontId="1" type="noConversion"/>
  </si>
  <si>
    <t>Effect_i_attack_super</t>
    <phoneticPr fontId="1" type="noConversion"/>
  </si>
  <si>
    <t>近击搏杀</t>
    <phoneticPr fontId="1" type="noConversion"/>
  </si>
  <si>
    <t>Effect_i_get_card</t>
    <phoneticPr fontId="1" type="noConversion"/>
  </si>
  <si>
    <t>自己抽?卡</t>
    <phoneticPr fontId="1" type="noConversion"/>
  </si>
  <si>
    <t>Effect_i_give_all_my_card_to_teammates</t>
    <phoneticPr fontId="1" type="noConversion"/>
  </si>
  <si>
    <t>空遁闪回</t>
    <phoneticPr fontId="1" type="noConversion"/>
  </si>
  <si>
    <t>旋地·回击</t>
    <phoneticPr fontId="1" type="noConversion"/>
  </si>
  <si>
    <t>自己抽1卡,自己可普攻 发动普攻者 1次,本次普攻自己攻+1</t>
    <phoneticPr fontId="1" type="noConversion"/>
  </si>
  <si>
    <t>Effect_i_immune_effect_dmg</t>
    <phoneticPr fontId="1" type="noConversion"/>
  </si>
  <si>
    <t>Effect_SP_i_defend_attack_throne_succeed_sword</t>
    <phoneticPr fontId="1" type="noConversion"/>
  </si>
  <si>
    <t>Effect_deck_top_card_to_graveyard</t>
    <phoneticPr fontId="1" type="noConversion"/>
  </si>
  <si>
    <t>Effect_destroy_enemy_weapon_random</t>
    <phoneticPr fontId="1" type="noConversion"/>
  </si>
  <si>
    <t>此回合之后的3轮回内自己若受到致命伤血，使 发动者 受到之前自己丢光手卡数值×2的伤血</t>
    <phoneticPr fontId="1" type="noConversion"/>
  </si>
  <si>
    <t>Effect_i_let_enemy_effect_dmg</t>
    <phoneticPr fontId="1" type="noConversion"/>
  </si>
  <si>
    <t>使 目标 伤1血，若命中则 目标 此事件内无法行动（目标可丢1卡躲避此效果）</t>
    <phoneticPr fontId="1" type="noConversion"/>
  </si>
  <si>
    <t>给自己添加buff</t>
    <phoneticPr fontId="1" type="noConversion"/>
  </si>
  <si>
    <t>需要添加general表内具体buff编号，本表内buff仅为效果意义</t>
  </si>
  <si>
    <t>给单一对手添加buff</t>
    <phoneticPr fontId="1" type="noConversion"/>
  </si>
  <si>
    <t>备注</t>
    <phoneticPr fontId="1" type="noConversion"/>
  </si>
  <si>
    <t>自己抽1卡,使 目标 伤1血且此事件内无法行动（目标可丢1卡躲避此效果）</t>
    <phoneticPr fontId="1" type="noConversion"/>
  </si>
  <si>
    <t>自己可普攻 目标 1次,本次普攻自己攻+?</t>
    <phoneticPr fontId="1" type="noConversion"/>
  </si>
  <si>
    <t>卡片效果</t>
    <phoneticPr fontId="1" type="noConversion"/>
  </si>
  <si>
    <t>阴势·突进1</t>
    <phoneticPr fontId="1" type="noConversion"/>
  </si>
  <si>
    <t>阴势·突进2</t>
    <phoneticPr fontId="1" type="noConversion"/>
  </si>
  <si>
    <t>Effect_i_let_enemy_blood_halve</t>
    <phoneticPr fontId="1" type="noConversion"/>
  </si>
  <si>
    <t>Effect_i_escape_attack</t>
    <phoneticPr fontId="1" type="noConversion"/>
  </si>
  <si>
    <t>Effect_equip_weapon_from_deck</t>
    <phoneticPr fontId="1" type="noConversion"/>
  </si>
  <si>
    <t>稻草人</t>
    <phoneticPr fontId="1" type="noConversion"/>
  </si>
  <si>
    <t>Effect_i_let_enemy_effect_dmg_my_weapon_quantity</t>
  </si>
  <si>
    <t>Effect_i_let_enemy_effect_dmg_my_weapon_quantity</t>
    <phoneticPr fontId="1" type="noConversion"/>
  </si>
  <si>
    <t>Effect_i_let_enemy_refresh_card_randomly</t>
    <phoneticPr fontId="1" type="noConversion"/>
  </si>
  <si>
    <t>Effect_i_let_enemy_unmovable</t>
    <phoneticPr fontId="1" type="noConversion"/>
  </si>
  <si>
    <t>Effect_i_destroy_enemy_all_weapon</t>
    <phoneticPr fontId="1" type="noConversion"/>
  </si>
  <si>
    <t>Effect_SP_i_defend_attack_throne_succeed_sword</t>
  </si>
  <si>
    <t>Effect_i_can_attack_back_with_enforce</t>
  </si>
  <si>
    <t>Effect_i_can_attack_back_with_enforce</t>
    <phoneticPr fontId="1" type="noConversion"/>
  </si>
  <si>
    <t>Effect_i_let_enemy_get_effect_dmg_escape_available</t>
  </si>
  <si>
    <t>Effect_i_let_enemy_get_effect_dmg_escape_available</t>
    <phoneticPr fontId="1" type="noConversion"/>
  </si>
  <si>
    <t>Effect_SP_scarecrow</t>
  </si>
  <si>
    <t>Effect_SP_scarecrow</t>
    <phoneticPr fontId="1" type="noConversion"/>
  </si>
  <si>
    <t>Effect_SP_fire_splash</t>
  </si>
  <si>
    <t>Effect_SP_fire_splash</t>
    <phoneticPr fontId="1" type="noConversion"/>
  </si>
  <si>
    <t>Effect_SP_break_out_godattack</t>
  </si>
  <si>
    <t>Effect_SP_break_out_godattack</t>
    <phoneticPr fontId="1" type="noConversion"/>
  </si>
  <si>
    <t>Effect_SP_destory_planet</t>
  </si>
  <si>
    <t>Effect_SP_destory_planet</t>
    <phoneticPr fontId="1" type="noConversion"/>
  </si>
  <si>
    <t>Effect_SP_burst_fight</t>
    <phoneticPr fontId="1" type="noConversion"/>
  </si>
  <si>
    <t>规则解释</t>
    <phoneticPr fontId="1" type="noConversion"/>
  </si>
  <si>
    <t>效果发动成功后才结算cost、效果，如果发动失败则不进行结算</t>
    <phoneticPr fontId="1" type="noConversion"/>
  </si>
  <si>
    <t>Buff_my_attack_cannot_escape_defend</t>
  </si>
  <si>
    <t>Buff_my_attack_cannot_escape_defend</t>
    <phoneticPr fontId="1" type="noConversion"/>
  </si>
  <si>
    <t>compound_divine_void_slash</t>
  </si>
  <si>
    <t>compound_divine_void_slash</t>
    <phoneticPr fontId="1" type="noConversion"/>
  </si>
  <si>
    <t>离心续</t>
    <phoneticPr fontId="1" type="noConversion"/>
  </si>
  <si>
    <t>隐天盾</t>
    <phoneticPr fontId="1" type="noConversion"/>
  </si>
  <si>
    <t>compound_blessing_frozen</t>
    <phoneticPr fontId="1" type="noConversion"/>
  </si>
  <si>
    <t>compound_blessing_torrent</t>
  </si>
  <si>
    <t>compound_blessing_torrent</t>
    <phoneticPr fontId="1" type="noConversion"/>
  </si>
  <si>
    <t>流水加护</t>
    <phoneticPr fontId="1" type="noConversion"/>
  </si>
  <si>
    <t>极寒加护</t>
    <phoneticPr fontId="1" type="noConversion"/>
  </si>
  <si>
    <t>雷霆加护</t>
    <phoneticPr fontId="1" type="noConversion"/>
  </si>
  <si>
    <t>compound_blessing_thunder</t>
  </si>
  <si>
    <t>compound_blessing_thunder</t>
    <phoneticPr fontId="1" type="noConversion"/>
  </si>
  <si>
    <t>冥幽加护</t>
    <phoneticPr fontId="1" type="noConversion"/>
  </si>
  <si>
    <t>劈夺斩</t>
    <phoneticPr fontId="1" type="noConversion"/>
  </si>
  <si>
    <t>炽焰加护</t>
    <phoneticPr fontId="1" type="noConversion"/>
  </si>
  <si>
    <t>compound_blessing_blazing</t>
  </si>
  <si>
    <t>compound_blessing_blazing</t>
    <phoneticPr fontId="1" type="noConversion"/>
  </si>
  <si>
    <t>compound_blessing_sacredness</t>
  </si>
  <si>
    <t>compound_blessing_sacredness</t>
    <phoneticPr fontId="1" type="noConversion"/>
  </si>
  <si>
    <t>compound_blessing_netherdark</t>
  </si>
  <si>
    <t>compound_blessing_netherdark</t>
    <phoneticPr fontId="1" type="noConversion"/>
  </si>
  <si>
    <t>compound_plunder_cleave</t>
  </si>
  <si>
    <t>compound_plunder_cleave</t>
    <phoneticPr fontId="1" type="noConversion"/>
  </si>
  <si>
    <t>compound_savage_wield</t>
    <phoneticPr fontId="1" type="noConversion"/>
  </si>
  <si>
    <t>Effect_refresh_card_all</t>
  </si>
  <si>
    <t>Effect_refresh_card_all</t>
    <phoneticPr fontId="1" type="noConversion"/>
  </si>
  <si>
    <t>compound_chaos_bubble</t>
  </si>
  <si>
    <t>compound_chaos_bubble</t>
    <phoneticPr fontId="1" type="noConversion"/>
  </si>
  <si>
    <t>compound_skyfall_dazzling_entrance</t>
  </si>
  <si>
    <t>compound_skyfall_dazzling_entrance</t>
    <phoneticPr fontId="1" type="noConversion"/>
  </si>
  <si>
    <t>compound_universe_splitting_axe_1</t>
  </si>
  <si>
    <t>compound_universe_splitting_axe_1</t>
    <phoneticPr fontId="1" type="noConversion"/>
  </si>
  <si>
    <t>compound_weapon_out_and_back</t>
  </si>
  <si>
    <t>compound_weapon_out_and_back</t>
    <phoneticPr fontId="1" type="noConversion"/>
  </si>
  <si>
    <t>compound_circling_fight_back</t>
  </si>
  <si>
    <t>compound_circling_fight_back</t>
    <phoneticPr fontId="1" type="noConversion"/>
  </si>
  <si>
    <t>compound_escape_to_sky_fight_back</t>
  </si>
  <si>
    <t>compound_escape_to_sky_fight_back</t>
    <phoneticPr fontId="1" type="noConversion"/>
  </si>
  <si>
    <t>compound_universe_splitting_axe_3</t>
  </si>
  <si>
    <t>compound_universe_splitting_axe_3</t>
    <phoneticPr fontId="1" type="noConversion"/>
  </si>
  <si>
    <t>Effect_i_reset_attack_chance</t>
    <phoneticPr fontId="1" type="noConversion"/>
  </si>
  <si>
    <t>重置自己规则性普攻次数</t>
    <phoneticPr fontId="1" type="noConversion"/>
  </si>
  <si>
    <t>闪</t>
    <phoneticPr fontId="1" type="noConversion"/>
  </si>
  <si>
    <t>神光加护</t>
    <phoneticPr fontId="1" type="noConversion"/>
  </si>
  <si>
    <t>增益效果</t>
    <phoneticPr fontId="1" type="noConversion"/>
  </si>
  <si>
    <t>劈夺斩1</t>
    <phoneticPr fontId="1" type="noConversion"/>
  </si>
  <si>
    <t>自己查看 被攻者 所有手卡,并选1张加入自己手卡,若选中装备卡则直接给自己装备上</t>
    <phoneticPr fontId="1" type="noConversion"/>
  </si>
  <si>
    <t>Effect_i_check_enemy_card_and_plunge</t>
  </si>
  <si>
    <t>Effect_i_check_enemy_card_and_plunge</t>
    <phoneticPr fontId="1" type="noConversion"/>
  </si>
  <si>
    <t>Effect_i_attack_enemy</t>
  </si>
  <si>
    <t>Effect_i_attack_enemy</t>
    <phoneticPr fontId="1" type="noConversion"/>
  </si>
  <si>
    <t>任意对象</t>
    <phoneticPr fontId="1" type="noConversion"/>
  </si>
  <si>
    <t>唯一对象，事件连锁者</t>
    <phoneticPr fontId="1" type="noConversion"/>
  </si>
  <si>
    <t>极寒加护3</t>
    <phoneticPr fontId="1" type="noConversion"/>
  </si>
  <si>
    <t>给单一对手添加buff(50概率)</t>
    <phoneticPr fontId="1" type="noConversion"/>
  </si>
  <si>
    <t>Effect_get_buff_one_enemy_50percent</t>
    <phoneticPr fontId="1" type="noConversion"/>
  </si>
  <si>
    <t>硬控</t>
    <phoneticPr fontId="1" type="noConversion"/>
  </si>
  <si>
    <t>简称</t>
    <phoneticPr fontId="1" type="noConversion"/>
  </si>
  <si>
    <t>冠阳剜月斧2</t>
    <phoneticPr fontId="1" type="noConversion"/>
  </si>
  <si>
    <t>Effect_i_point_one_get_effect_dmg</t>
  </si>
  <si>
    <t>Effect_i_get_card</t>
  </si>
  <si>
    <t>Effect_SP_i_escape_attack_and_fight_back</t>
  </si>
  <si>
    <t>Effect_i_let_enemy_blood_halve</t>
  </si>
  <si>
    <t>Effect_get_buff_myself</t>
  </si>
  <si>
    <t>Effect_get_buff_one_enemy</t>
  </si>
  <si>
    <t>Effect_i_escape_attack</t>
  </si>
  <si>
    <t>effect_name</t>
    <phoneticPr fontId="1" type="noConversion"/>
  </si>
  <si>
    <t>Effect_i_claim_attack</t>
  </si>
  <si>
    <t>Effect_hatred</t>
  </si>
  <si>
    <t>Buff_unmovable</t>
  </si>
  <si>
    <t>Effect_i_give_all_my_card_to_teammates</t>
  </si>
  <si>
    <t>Effect_equip_weapon</t>
  </si>
  <si>
    <t>Effect_i_immune_effect_dmg</t>
  </si>
  <si>
    <t>Effect_i_defend_attack</t>
  </si>
  <si>
    <t>Effect_destroy_enemy_weapon_random</t>
  </si>
  <si>
    <t>自己使 目标 伤?血</t>
    <phoneticPr fontId="1" type="noConversion"/>
  </si>
  <si>
    <t>自己对 目标 造成?血超伤，此回合被强制结束</t>
    <phoneticPr fontId="1" type="noConversion"/>
  </si>
  <si>
    <t>Effect_get_buff_myself</t>
    <phoneticPr fontId="1" type="noConversion"/>
  </si>
  <si>
    <t>自己对 目标 造成?血超伤</t>
    <phoneticPr fontId="1" type="noConversion"/>
  </si>
  <si>
    <t>Effect_SP_divine_laser_effect</t>
    <phoneticPr fontId="1" type="noConversion"/>
  </si>
  <si>
    <t>compound_divine_laser</t>
    <phoneticPr fontId="1" type="noConversion"/>
  </si>
  <si>
    <t>自己丢光手卡，统计丢卡总数，并添加专属buff</t>
    <phoneticPr fontId="1" type="noConversion"/>
  </si>
  <si>
    <t>将卡堆最上方的?张武器卡给自己装备</t>
    <phoneticPr fontId="1" type="noConversion"/>
  </si>
  <si>
    <t>compound_earth_splitting</t>
    <phoneticPr fontId="1" type="noConversion"/>
  </si>
  <si>
    <t>决义·地割1</t>
    <phoneticPr fontId="1" type="noConversion"/>
  </si>
  <si>
    <t>时点衍生：如果在某个时点玩家发动了某些效果后，原有时点流程改变，中间会增加该效果对应的时点，且如果这些效果结算后对应的结果不是“强制结束所有时点”，则继续原有时点流程，否则强制结束</t>
    <phoneticPr fontId="1" type="noConversion"/>
  </si>
  <si>
    <t>决义·地割2</t>
    <phoneticPr fontId="1" type="noConversion"/>
  </si>
  <si>
    <t>自己装备的所有武器无效化</t>
    <phoneticPr fontId="1" type="noConversion"/>
  </si>
  <si>
    <t>Buff_my_weapon_all_invalid</t>
    <phoneticPr fontId="1" type="noConversion"/>
  </si>
  <si>
    <t>?%使 目标 装备的武器全部破坏</t>
    <phoneticPr fontId="1" type="noConversion"/>
  </si>
  <si>
    <t>效果解释字样里的“目标”指的是连锁事件的对象</t>
    <phoneticPr fontId="1" type="noConversion"/>
  </si>
  <si>
    <t>自己使 目标 伤?血（目标可丢1卡躲避此效果）</t>
    <phoneticPr fontId="1" type="noConversion"/>
  </si>
  <si>
    <t>自己使 目标 随机丢?卡</t>
    <phoneticPr fontId="1" type="noConversion"/>
  </si>
  <si>
    <t>自己使 目标 ?%无法行动</t>
    <phoneticPr fontId="1" type="noConversion"/>
  </si>
  <si>
    <t>Effect_get_buff_one_enemy_50percent</t>
    <phoneticPr fontId="1" type="noConversion"/>
  </si>
  <si>
    <t>使 目标 血量减半</t>
    <phoneticPr fontId="1" type="noConversion"/>
  </si>
  <si>
    <t>自己躲避此次普攻,自己可普攻 目标 1次</t>
    <phoneticPr fontId="1" type="noConversion"/>
  </si>
  <si>
    <t>自己可丢任意数量手卡，使 目标 受到丢卡数量的伤血且此次事件内无法行动.自己普攻 目标 1次,</t>
    <phoneticPr fontId="1" type="noConversion"/>
  </si>
  <si>
    <t>目标 受到自己当前武器数量×2的伤血</t>
    <phoneticPr fontId="1" type="noConversion"/>
  </si>
  <si>
    <t>躲避此次普攻，目标 武器全被破坏</t>
    <phoneticPr fontId="1" type="noConversion"/>
  </si>
  <si>
    <t>Buff_attack_penetrating</t>
    <phoneticPr fontId="1" type="noConversion"/>
  </si>
  <si>
    <t>buff</t>
    <phoneticPr fontId="1" type="noConversion"/>
  </si>
  <si>
    <t>自己普攻变为穿攻</t>
    <phoneticPr fontId="1" type="noConversion"/>
  </si>
  <si>
    <t>疾风刃1.1</t>
    <phoneticPr fontId="1" type="noConversion"/>
  </si>
  <si>
    <t>compound_zephyr_shortblade_1</t>
    <phoneticPr fontId="1" type="noConversion"/>
  </si>
  <si>
    <t>卡片效果</t>
    <phoneticPr fontId="1" type="noConversion"/>
  </si>
  <si>
    <t>疾风刃1</t>
    <phoneticPr fontId="1" type="noConversion"/>
  </si>
  <si>
    <t>黑曜剑1.1</t>
    <phoneticPr fontId="1" type="noConversion"/>
  </si>
  <si>
    <t>独立</t>
    <phoneticPr fontId="1" type="noConversion"/>
  </si>
  <si>
    <t>轮回</t>
    <phoneticPr fontId="1" type="noConversion"/>
  </si>
  <si>
    <t>compound_obsidian_sword_1</t>
    <phoneticPr fontId="1" type="noConversion"/>
  </si>
  <si>
    <t>黑曜剑1</t>
    <phoneticPr fontId="1" type="noConversion"/>
  </si>
  <si>
    <t>Effect_token_this_card_add</t>
    <phoneticPr fontId="1" type="noConversion"/>
  </si>
  <si>
    <t>给此卡放置1指示物</t>
    <phoneticPr fontId="1" type="noConversion"/>
  </si>
  <si>
    <t>自己成功造成伤血</t>
    <phoneticPr fontId="1" type="noConversion"/>
  </si>
  <si>
    <t>condition_name</t>
    <phoneticPr fontId="1" type="noConversion"/>
  </si>
  <si>
    <t>cost_name</t>
    <phoneticPr fontId="1" type="noConversion"/>
  </si>
  <si>
    <t>i_success_attack_or_my_turn_positive</t>
  </si>
  <si>
    <t>i_success_do_fight</t>
  </si>
  <si>
    <t>i_success_attack</t>
  </si>
  <si>
    <t>STATE_team_turn_i_positive</t>
  </si>
  <si>
    <t>i_failed_attack</t>
  </si>
  <si>
    <t>STATE_i_involve_event_over_4_chains</t>
  </si>
  <si>
    <t>STATE_my_turn_positive</t>
  </si>
  <si>
    <t>i_be_dmg_effect</t>
  </si>
  <si>
    <t>i_will_be_fatal_dmg</t>
  </si>
  <si>
    <t>i_success_attack_over_3_times</t>
  </si>
  <si>
    <t>i_be_fatal_dmg</t>
  </si>
  <si>
    <t>i_will_die</t>
  </si>
  <si>
    <t>STATE_i_weapon_not_full</t>
  </si>
  <si>
    <t>STATE_i_have_weapon_equipped</t>
  </si>
  <si>
    <t>Time_attack_end</t>
  </si>
  <si>
    <t>i_will_be_dmg_effect_passive</t>
  </si>
  <si>
    <t>i_success_get_card</t>
  </si>
  <si>
    <t>i_used_card</t>
  </si>
  <si>
    <t>i_will_discard_card</t>
  </si>
  <si>
    <t>i_will_be_effect_positive</t>
  </si>
  <si>
    <t>i_will_be_effect_unmovable</t>
  </si>
  <si>
    <t>someone_dead_not_me</t>
    <phoneticPr fontId="1" type="noConversion"/>
  </si>
  <si>
    <t>有人死亡时</t>
    <phoneticPr fontId="1" type="noConversion"/>
  </si>
  <si>
    <t>除己外有人死亡时</t>
    <phoneticPr fontId="1" type="noConversion"/>
  </si>
  <si>
    <t>自己丢光手卡</t>
    <phoneticPr fontId="1" type="noConversion"/>
  </si>
  <si>
    <t>Effect_i_discard_card_all</t>
    <phoneticPr fontId="1" type="noConversion"/>
  </si>
  <si>
    <t>Effect_i_discard_card</t>
    <phoneticPr fontId="1" type="noConversion"/>
  </si>
  <si>
    <t>自己血-?</t>
    <phoneticPr fontId="1" type="noConversion"/>
  </si>
  <si>
    <t>Effect_i_get_effect_dmg_by_myself</t>
    <phoneticPr fontId="1" type="noConversion"/>
  </si>
  <si>
    <t>自己丢?手卡</t>
    <phoneticPr fontId="1" type="noConversion"/>
  </si>
  <si>
    <t>Effect_i_destroy_my_weapon_this</t>
    <phoneticPr fontId="1" type="noConversion"/>
  </si>
  <si>
    <t>自己消耗此武器的?指示物</t>
    <phoneticPr fontId="1" type="noConversion"/>
  </si>
  <si>
    <t>Effect_i_consume_token_my_weapon_this</t>
    <phoneticPr fontId="1" type="noConversion"/>
  </si>
  <si>
    <t>STATE_my_turn_enough_token</t>
    <phoneticPr fontId="1" type="noConversion"/>
  </si>
  <si>
    <t>自己回合且此武器token数量大于?</t>
    <phoneticPr fontId="1" type="noConversion"/>
  </si>
  <si>
    <t>cost_condition_value</t>
    <phoneticPr fontId="1" type="noConversion"/>
  </si>
  <si>
    <t>兼容1</t>
    <phoneticPr fontId="1" type="noConversion"/>
  </si>
  <si>
    <t>兼容2</t>
    <phoneticPr fontId="1" type="noConversion"/>
  </si>
  <si>
    <t>兼容3</t>
    <phoneticPr fontId="1" type="noConversion"/>
  </si>
  <si>
    <t>自己因自主效果进行丢卡</t>
    <phoneticPr fontId="1" type="noConversion"/>
  </si>
  <si>
    <t>i_be_discard_card_positive</t>
    <phoneticPr fontId="1" type="noConversion"/>
  </si>
  <si>
    <t>i_immune_effect</t>
    <phoneticPr fontId="1" type="noConversion"/>
  </si>
  <si>
    <t>自己免疫影响</t>
    <phoneticPr fontId="1" type="noConversion"/>
  </si>
  <si>
    <t>自己选择无效，重新选择</t>
    <phoneticPr fontId="1" type="noConversion"/>
  </si>
  <si>
    <t>CHOICE_i_do_useless_choice</t>
    <phoneticPr fontId="1" type="noConversion"/>
  </si>
  <si>
    <t>自己即将受到自主效果</t>
    <phoneticPr fontId="1" type="noConversion"/>
  </si>
  <si>
    <t>i_will_be_dmg_effect_positive</t>
    <phoneticPr fontId="1" type="noConversion"/>
  </si>
  <si>
    <t>自己即将受到自主效果伤血</t>
    <phoneticPr fontId="1" type="noConversion"/>
  </si>
  <si>
    <t>所有人随机刷新?手卡</t>
    <phoneticPr fontId="1" type="noConversion"/>
  </si>
  <si>
    <t>自己使 目标 随机刷新?卡</t>
    <phoneticPr fontId="1" type="noConversion"/>
  </si>
  <si>
    <t>此次普攻自己攻+1,普攻成功后使被对手随机刷新2手卡</t>
    <phoneticPr fontId="1" type="noConversion"/>
  </si>
  <si>
    <t>此次普攻自己攻+2,普攻成功后使对手随机丢1手卡</t>
    <phoneticPr fontId="1" type="noConversion"/>
  </si>
  <si>
    <t>所有人随机刷新3手卡，卡堆最上方3张卡送入废卡区</t>
    <phoneticPr fontId="1" type="noConversion"/>
  </si>
  <si>
    <t>自己指定1人伤2血，所有人随机刷新5手卡</t>
    <phoneticPr fontId="1" type="noConversion"/>
  </si>
  <si>
    <t>“刷新x手卡”属于特殊效果：“丢x张卡，抽x张”，如果该效果结算时玩家因为某些效果免疫丢卡，则不会进行后续的抽卡，如果刷新x手卡数量大于该玩家手卡总数，则相当于丢光手卡再抽丢的数量的卡</t>
    <phoneticPr fontId="1" type="noConversion"/>
  </si>
  <si>
    <t>Buff_base_attack_mutipler</t>
    <phoneticPr fontId="1" type="noConversion"/>
  </si>
  <si>
    <t>自己基础攻击力变为原本的?倍</t>
    <phoneticPr fontId="1" type="noConversion"/>
  </si>
  <si>
    <t>Buff_all_attack_mutipler</t>
    <phoneticPr fontId="1" type="noConversion"/>
  </si>
  <si>
    <t>自己总攻击力变为原本的?倍</t>
    <phoneticPr fontId="1" type="noConversion"/>
  </si>
  <si>
    <t>Buff_normal_attack_dmg_mutipler</t>
    <phoneticPr fontId="1" type="noConversion"/>
  </si>
  <si>
    <t>自己造成的普攻伤血变为原本的?倍</t>
    <phoneticPr fontId="1" type="noConversion"/>
  </si>
  <si>
    <t>10630</t>
    <phoneticPr fontId="1" type="noConversion"/>
  </si>
  <si>
    <t>神空·闪降1</t>
    <phoneticPr fontId="1" type="noConversion"/>
  </si>
  <si>
    <t>Effect_i_public_card_i_get</t>
    <phoneticPr fontId="1" type="noConversion"/>
  </si>
  <si>
    <t>此次抽卡</t>
    <phoneticPr fontId="1" type="noConversion"/>
  </si>
  <si>
    <t>发动类型</t>
    <phoneticPr fontId="1" type="noConversion"/>
  </si>
  <si>
    <t>STATE_my_turn_enough_weapon_token</t>
  </si>
  <si>
    <t>STATE_my_turn_enough_weapon_token</t>
    <phoneticPr fontId="1" type="noConversion"/>
  </si>
  <si>
    <t>compound_centrifugal_combo</t>
    <phoneticPr fontId="1" type="noConversion"/>
  </si>
  <si>
    <t>compound_dark_rush</t>
    <phoneticPr fontId="1" type="noConversion"/>
  </si>
  <si>
    <t>compound_aetherveil_aegis</t>
    <phoneticPr fontId="1" type="noConversion"/>
  </si>
  <si>
    <t>STATE_my_turn_positive</t>
    <phoneticPr fontId="1" type="noConversion"/>
  </si>
  <si>
    <t>compound_aetherveil_aegis</t>
    <phoneticPr fontId="1" type="noConversion"/>
  </si>
  <si>
    <t>每个时点，对于主动、选发效果，玩家只能发动一张卡</t>
    <phoneticPr fontId="1" type="noConversion"/>
  </si>
  <si>
    <t>每次发动一次新的普攻后，都会强制结束所有时点，相当于一次“康”，例如我发动一次效果伤血，他连锁一次普攻，则他普攻处理完后不会结算我发动的效果伤血，会强制结束事件，同理如果他普攻我一次而我此时连锁发动普攻他一次，则在我普攻他结算后强制结束事件，不会结算他进行的普攻</t>
    <phoneticPr fontId="1" type="noConversion"/>
  </si>
  <si>
    <t>此次事件指的是本次全部连锁结束前一切时间段</t>
    <phoneticPr fontId="1" type="noConversion"/>
  </si>
  <si>
    <t>此次连锁层级指的是仅仅在此层效果处理时触发时会一直进行处理</t>
    <phoneticPr fontId="1" type="noConversion"/>
  </si>
  <si>
    <t>此次连锁层级单次契机则在此层效果处理触发一次后或者此层连锁结束才消失</t>
    <phoneticPr fontId="1" type="noConversion"/>
  </si>
  <si>
    <t>a发动普攻攻击b</t>
    <phoneticPr fontId="1" type="noConversion"/>
  </si>
  <si>
    <t>a被动时点“我发动了普攻”</t>
    <phoneticPr fontId="1" type="noConversion"/>
  </si>
  <si>
    <t>b被动时点“我即将受到普攻”</t>
    <phoneticPr fontId="1" type="noConversion"/>
  </si>
  <si>
    <t>b主动时点“我即将受到普攻”</t>
    <phoneticPr fontId="1" type="noConversion"/>
  </si>
  <si>
    <t>普攻伤害结算</t>
    <phoneticPr fontId="1" type="noConversion"/>
  </si>
  <si>
    <t>a被动时点“我普攻成功了”</t>
    <phoneticPr fontId="1" type="noConversion"/>
  </si>
  <si>
    <t>b被动时点“我受到了普攻”</t>
    <phoneticPr fontId="1" type="noConversion"/>
  </si>
  <si>
    <t>a主动时点“我普攻成功了”</t>
    <phoneticPr fontId="1" type="noConversion"/>
  </si>
  <si>
    <t>普攻流程</t>
    <phoneticPr fontId="1" type="noConversion"/>
  </si>
  <si>
    <t>a主动时点“我发动了普攻”</t>
    <phoneticPr fontId="1" type="noConversion"/>
  </si>
  <si>
    <t>buff的？？？可分为此次事件、此次连锁层级、此次连锁层级单次契机</t>
    <phoneticPr fontId="1" type="noConversion"/>
  </si>
  <si>
    <t xml:space="preserve">a被动时点“我发动效果” </t>
    <phoneticPr fontId="1" type="noConversion"/>
  </si>
  <si>
    <t>a主动时点“我发动了效果”</t>
    <phoneticPr fontId="1" type="noConversion"/>
  </si>
  <si>
    <t>b主动时点"我即将受到效果"</t>
    <phoneticPr fontId="1" type="noConversion"/>
  </si>
  <si>
    <t>b被动时点“我即将受到效果”</t>
    <phoneticPr fontId="1" type="noConversion"/>
  </si>
  <si>
    <t>发动效果流程</t>
    <phoneticPr fontId="1" type="noConversion"/>
  </si>
  <si>
    <t>分支1：b主动时点“我受到了普攻”</t>
    <phoneticPr fontId="1" type="noConversion"/>
  </si>
  <si>
    <t>分支2：a主动时点“我普攻失败了”</t>
    <phoneticPr fontId="1" type="noConversion"/>
  </si>
  <si>
    <t>b主动时点“我成功避免普攻”</t>
    <phoneticPr fontId="1" type="noConversion"/>
  </si>
  <si>
    <t>效果结算</t>
    <phoneticPr fontId="1" type="noConversion"/>
  </si>
  <si>
    <t>a被动时点“效果结算结果”</t>
    <phoneticPr fontId="1" type="noConversion"/>
  </si>
  <si>
    <t>b被动时点“效果结算结果”</t>
    <phoneticPr fontId="1" type="noConversion"/>
  </si>
  <si>
    <t>b主动时点“效果结算结果”</t>
    <phoneticPr fontId="1" type="noConversion"/>
  </si>
  <si>
    <t>a主动时点“效果结算结果”</t>
    <phoneticPr fontId="1" type="noConversion"/>
  </si>
  <si>
    <t>cost_condition_name</t>
    <phoneticPr fontId="1" type="noConversion"/>
  </si>
  <si>
    <t>a发动效果</t>
    <phoneticPr fontId="1" type="noConversion"/>
  </si>
  <si>
    <t>常驻</t>
    <phoneticPr fontId="1" type="noConversion"/>
  </si>
  <si>
    <t>自身效果常驻</t>
    <phoneticPr fontId="1" type="noConversion"/>
  </si>
  <si>
    <t>触发限制类型</t>
    <phoneticPr fontId="1" type="noConversion"/>
  </si>
  <si>
    <t>连锁层</t>
    <phoneticPr fontId="1" type="noConversion"/>
  </si>
  <si>
    <t>this_time_effect_dmg</t>
    <phoneticPr fontId="1" type="noConversion"/>
  </si>
  <si>
    <t>this_time_dmg</t>
    <phoneticPr fontId="1" type="noConversion"/>
  </si>
  <si>
    <t>this_time_attack</t>
    <phoneticPr fontId="1" type="noConversion"/>
  </si>
  <si>
    <t>自己自身效果无效化</t>
    <phoneticPr fontId="1" type="noConversion"/>
  </si>
  <si>
    <t>Buff_myself_silent</t>
    <phoneticPr fontId="1" type="noConversion"/>
  </si>
  <si>
    <t>此次效果结算</t>
    <phoneticPr fontId="1" type="noConversion"/>
  </si>
  <si>
    <t>this_time_effect_launch</t>
    <phoneticPr fontId="1" type="noConversion"/>
  </si>
  <si>
    <t>this_event_launch</t>
    <phoneticPr fontId="1" type="noConversion"/>
  </si>
  <si>
    <t>自己受到普攻伤血结算时</t>
    <phoneticPr fontId="1" type="noConversion"/>
  </si>
  <si>
    <t>Launch_i_take_dmg_attack</t>
    <phoneticPr fontId="1" type="noConversion"/>
  </si>
  <si>
    <t>主动</t>
    <phoneticPr fontId="1" type="noConversion"/>
  </si>
  <si>
    <t>Launch_i_take_dmg_effect_positive</t>
    <phoneticPr fontId="1" type="noConversion"/>
  </si>
  <si>
    <t>Launch_i_take_dmg_effect_passive</t>
    <phoneticPr fontId="1" type="noConversion"/>
  </si>
  <si>
    <t>自己即将进行自主效果伤血结算</t>
    <phoneticPr fontId="1" type="noConversion"/>
  </si>
  <si>
    <t>自己即将进行非自主效果伤血结算</t>
    <phoneticPr fontId="1" type="noConversion"/>
  </si>
  <si>
    <t>超伤效果结算时无法被反制且无法触发任何被动</t>
    <phoneticPr fontId="1" type="noConversion"/>
  </si>
  <si>
    <t>someone_launch_effect</t>
    <phoneticPr fontId="1" type="noConversion"/>
  </si>
  <si>
    <t>有人发动效果</t>
    <phoneticPr fontId="1" type="noConversion"/>
  </si>
  <si>
    <t>此次普攻自己攻+1,普攻成功后50%使对手接下来的此回合不能行动</t>
    <phoneticPr fontId="1" type="noConversion"/>
  </si>
  <si>
    <t>抽卡如果是x张，则是一次性获取x张，而不是一张张获取</t>
    <phoneticPr fontId="1" type="noConversion"/>
  </si>
  <si>
    <t>玩家上限10张手卡，每个回合结束，必须将手卡限制在6张</t>
    <phoneticPr fontId="1" type="noConversion"/>
  </si>
  <si>
    <t>aoe效果会全员处理，但如果其中一个导致的后发连锁导致了事件被强制结束，则该次事件在全员处理完后才会被强制结束</t>
    <phoneticPr fontId="1" type="noConversion"/>
  </si>
  <si>
    <t>li</t>
    <phoneticPr fontId="1" type="noConversion"/>
  </si>
  <si>
    <t>如果自己免疫一些cost效果，而cost为可变任意值，则默认为最大值（例如丢任意数量手卡则cost结果视为手卡数量最大值处理）</t>
    <phoneticPr fontId="1" type="noConversion"/>
  </si>
  <si>
    <t>如果cost要求可以丢一定数量的卡但可以不丢，如果丢了数量少于该数量的卡则判断为cost失败（玩家本可选择不丢直接失败，但丢了少于要求数量的卡则视为玩家自己误操作承担后果）</t>
    <phoneticPr fontId="1" type="noConversion"/>
  </si>
  <si>
    <t>someone_will_get_card</t>
    <phoneticPr fontId="1" type="noConversion"/>
  </si>
  <si>
    <t>有人即将抽卡</t>
    <phoneticPr fontId="1" type="noConversion"/>
  </si>
  <si>
    <t>是</t>
    <phoneticPr fontId="1" type="noConversion"/>
  </si>
  <si>
    <t>Effect_i_point_enemy_get_effect_dmg_escape_available</t>
    <phoneticPr fontId="1" type="noConversion"/>
  </si>
  <si>
    <t>自己指定1敌人伤?血（目标可丢1卡躲避此效果）</t>
    <phoneticPr fontId="1" type="noConversion"/>
  </si>
  <si>
    <t>Effect_i_point_one_enemy_get_effect_dmg</t>
    <phoneticPr fontId="1" type="noConversion"/>
  </si>
  <si>
    <t>Effect_i_point_one_enemy_get_effect_dmg_50percent</t>
    <phoneticPr fontId="1" type="noConversion"/>
  </si>
  <si>
    <t>14070</t>
    <phoneticPr fontId="1" type="noConversion"/>
  </si>
  <si>
    <t>蓝爆冰晶1</t>
    <phoneticPr fontId="1" type="noConversion"/>
  </si>
  <si>
    <t>连锁层</t>
    <phoneticPr fontId="1" type="noConversion"/>
  </si>
  <si>
    <t>compound_ice_burst</t>
    <phoneticPr fontId="1" type="noConversion"/>
  </si>
  <si>
    <t>元效果</t>
    <phoneticPr fontId="1" type="noConversion"/>
  </si>
  <si>
    <t>Effect_SP_ice_burst</t>
    <phoneticPr fontId="1" type="noConversion"/>
  </si>
  <si>
    <t>给本buff增加token数量，检测token数量若超过三，摧毁自己所有武器</t>
    <phoneticPr fontId="1" type="noConversion"/>
  </si>
  <si>
    <t>是</t>
    <phoneticPr fontId="1" type="noConversion"/>
  </si>
  <si>
    <t>进入连锁（此项暂不可用）</t>
    <phoneticPr fontId="1" type="noConversion"/>
  </si>
  <si>
    <t>Effect_i_recover_to_limit</t>
    <phoneticPr fontId="1" type="noConversion"/>
  </si>
  <si>
    <t>Effect_i_let_enemy_random_discard_card</t>
  </si>
  <si>
    <t>Effect_i_let_enemy_random_discard_card</t>
    <phoneticPr fontId="1" type="noConversion"/>
  </si>
  <si>
    <t>compound_lightning_blaze</t>
    <phoneticPr fontId="1" type="noConversion"/>
  </si>
  <si>
    <t>光斩绝杀</t>
    <phoneticPr fontId="1" type="noConversion"/>
  </si>
  <si>
    <t>Effect_i_escape_attack_and_can_fight_back</t>
    <phoneticPr fontId="1" type="noConversion"/>
  </si>
  <si>
    <t>Effect_i_escape_attack_and_can_fight_back</t>
    <phoneticPr fontId="1" type="noConversion"/>
  </si>
  <si>
    <t>10650</t>
    <phoneticPr fontId="1" type="noConversion"/>
  </si>
  <si>
    <t>Effect_SP_lightning_blaze</t>
    <phoneticPr fontId="1" type="noConversion"/>
  </si>
  <si>
    <t>此次伤血无效化，自己可对其进行1次普攻</t>
    <phoneticPr fontId="1" type="noConversion"/>
  </si>
  <si>
    <t>敌方所有人武器全部破坏且伤?血</t>
    <phoneticPr fontId="1" type="noConversion"/>
  </si>
  <si>
    <t>14050</t>
    <phoneticPr fontId="1" type="noConversion"/>
  </si>
  <si>
    <t>憎恨1</t>
    <phoneticPr fontId="1" type="noConversion"/>
  </si>
  <si>
    <t>回合</t>
    <phoneticPr fontId="1" type="noConversion"/>
  </si>
  <si>
    <t>hide_effect_description</t>
    <phoneticPr fontId="1" type="noConversion"/>
  </si>
  <si>
    <t>hide_effect_No</t>
    <phoneticPr fontId="1" type="noConversion"/>
  </si>
  <si>
    <t>自己成功造成效果伤血</t>
    <phoneticPr fontId="1" type="noConversion"/>
  </si>
  <si>
    <t>每回合初</t>
    <phoneticPr fontId="1" type="noConversion"/>
  </si>
  <si>
    <t>自己装备武器</t>
    <phoneticPr fontId="1" type="noConversion"/>
  </si>
  <si>
    <t>此回合自己尚未行动、自己受到普攻</t>
  </si>
  <si>
    <t>自己未装备武器发动普攻</t>
    <phoneticPr fontId="1" type="noConversion"/>
  </si>
  <si>
    <t>对手非回合制抽卡</t>
  </si>
  <si>
    <t>start_of_turn</t>
    <phoneticPr fontId="1" type="noConversion"/>
  </si>
  <si>
    <t>i_equip_weapon</t>
    <phoneticPr fontId="1" type="noConversion"/>
  </si>
  <si>
    <t>i_will_be_attacked_this_turn_not_move</t>
    <phoneticPr fontId="1" type="noConversion"/>
  </si>
  <si>
    <t>i_will_attack_without_weapon</t>
    <phoneticPr fontId="1" type="noConversion"/>
  </si>
  <si>
    <t>enemy_get_card_not_rule</t>
    <phoneticPr fontId="1" type="noConversion"/>
  </si>
  <si>
    <t>i_will_be_attacked_with_less_2_card</t>
    <phoneticPr fontId="1" type="noConversion"/>
  </si>
  <si>
    <t>自己受到普攻且自己手卡数量少于3张</t>
    <phoneticPr fontId="1" type="noConversion"/>
  </si>
  <si>
    <t>呆呆木桩</t>
    <phoneticPr fontId="1" type="noConversion"/>
  </si>
  <si>
    <t>Buff_only_wood</t>
    <phoneticPr fontId="1" type="noConversion"/>
  </si>
  <si>
    <t>Effect_check_deck_top_card</t>
    <phoneticPr fontId="1" type="noConversion"/>
  </si>
  <si>
    <t>自己血-2，自己攻+2，回合结束时恢复原状</t>
    <phoneticPr fontId="1" type="noConversion"/>
  </si>
  <si>
    <t>Effect_state_change_attack</t>
    <phoneticPr fontId="1" type="noConversion"/>
  </si>
  <si>
    <t>自己攻变化</t>
    <phoneticPr fontId="1" type="noConversion"/>
  </si>
  <si>
    <t>Effect_state_change_blood</t>
    <phoneticPr fontId="1" type="noConversion"/>
  </si>
  <si>
    <t>自己血变化</t>
    <phoneticPr fontId="1" type="noConversion"/>
  </si>
  <si>
    <t>compound_SP_qijiefeng</t>
    <phoneticPr fontId="1" type="noConversion"/>
  </si>
  <si>
    <t>compound_SP_qijiefeng_back</t>
    <phoneticPr fontId="1" type="noConversion"/>
  </si>
  <si>
    <t>自己血+2，自己攻-2</t>
    <phoneticPr fontId="1" type="noConversion"/>
  </si>
  <si>
    <t>自己随机查看1个对手?张手卡</t>
    <phoneticPr fontId="1" type="noConversion"/>
  </si>
  <si>
    <t>Effect_check_one_enemy_card_random</t>
    <phoneticPr fontId="1" type="noConversion"/>
  </si>
  <si>
    <t>Effect_get_extra_attack_power_by_my_each_weapon</t>
    <phoneticPr fontId="1" type="noConversion"/>
  </si>
  <si>
    <t>根据自己装备武器数量每件让自己攻+1</t>
    <phoneticPr fontId="1" type="noConversion"/>
  </si>
  <si>
    <t>Effect_SP_pretrap</t>
    <phoneticPr fontId="1" type="noConversion"/>
  </si>
  <si>
    <t>此回合自己每次受到普攻伤害，普攻者血-1</t>
    <phoneticPr fontId="1" type="noConversion"/>
  </si>
  <si>
    <t>自己丢1卡，被普攻者随机丢1卡</t>
    <phoneticPr fontId="1" type="noConversion"/>
  </si>
  <si>
    <t>此次普攻自己攻+1</t>
  </si>
  <si>
    <t>Effect_SP_fire_god_rage</t>
    <phoneticPr fontId="1" type="noConversion"/>
  </si>
  <si>
    <t>Effect_SP_attack_without_weapon</t>
    <phoneticPr fontId="1" type="noConversion"/>
  </si>
  <si>
    <t>Effect_SP_stance_of_king</t>
    <phoneticPr fontId="1" type="noConversion"/>
  </si>
  <si>
    <t>自己抽至手卡为4卡</t>
  </si>
  <si>
    <t>自己发动1次普攻</t>
    <phoneticPr fontId="1" type="noConversion"/>
  </si>
  <si>
    <t>自己普攻 目标 1次</t>
    <phoneticPr fontId="1" type="noConversion"/>
  </si>
  <si>
    <t>compound_SP_one_fierce_attack</t>
    <phoneticPr fontId="1" type="noConversion"/>
  </si>
  <si>
    <t>compound_get_extra_1_attack_this_turn</t>
    <phoneticPr fontId="1" type="noConversion"/>
  </si>
  <si>
    <t>此回合自己攻+1</t>
    <phoneticPr fontId="1" type="noConversion"/>
  </si>
  <si>
    <t>Effect_i_point_one_discard_card_randomly</t>
    <phoneticPr fontId="1" type="noConversion"/>
  </si>
  <si>
    <t>自己指定1人随机丢?卡</t>
    <phoneticPr fontId="1" type="noConversion"/>
  </si>
  <si>
    <t>自己查看卡组最顶部?张卡</t>
    <phoneticPr fontId="1" type="noConversion"/>
  </si>
  <si>
    <t>bot</t>
    <phoneticPr fontId="1" type="noConversion"/>
  </si>
  <si>
    <t>人物常驻</t>
    <phoneticPr fontId="1" type="noConversion"/>
  </si>
  <si>
    <t>虹马玉</t>
  </si>
  <si>
    <t>1回合</t>
  </si>
  <si>
    <t>奇杰风</t>
  </si>
  <si>
    <t>自己回合</t>
  </si>
  <si>
    <t>奇杰风1</t>
    <phoneticPr fontId="1" type="noConversion"/>
  </si>
  <si>
    <t>Time_turn_end</t>
  </si>
  <si>
    <t>吉傲明</t>
  </si>
  <si>
    <t>i_be_discard_card</t>
  </si>
  <si>
    <t>兀觉山</t>
  </si>
  <si>
    <t>选发</t>
  </si>
  <si>
    <t>凌松</t>
  </si>
  <si>
    <t>start_of_turn</t>
  </si>
  <si>
    <t>林龙天</t>
  </si>
  <si>
    <t>罗迪颖</t>
  </si>
  <si>
    <t>穆封灵</t>
  </si>
  <si>
    <t>i_equip_weapon</t>
  </si>
  <si>
    <t>穆封灵1</t>
    <phoneticPr fontId="1" type="noConversion"/>
  </si>
  <si>
    <t>提苏乌</t>
  </si>
  <si>
    <t>同沦</t>
  </si>
  <si>
    <t>i_will_be_attacked_this_turn_not_move</t>
  </si>
  <si>
    <t>固定词条</t>
    <phoneticPr fontId="1" type="noConversion"/>
  </si>
  <si>
    <t>后手之机</t>
  </si>
  <si>
    <t>预阱</t>
  </si>
  <si>
    <t>火神之怒</t>
  </si>
  <si>
    <t>无械之击</t>
  </si>
  <si>
    <t>i_will_attack_without_weapon</t>
  </si>
  <si>
    <t>越境怒截</t>
  </si>
  <si>
    <t>enemy_get_card_not_rule</t>
  </si>
  <si>
    <t>超皇姿态</t>
  </si>
  <si>
    <t>i_will_be_attacked_with_less_2_card</t>
  </si>
  <si>
    <t>通用人物回合增攻</t>
    <phoneticPr fontId="1" type="noConversion"/>
  </si>
  <si>
    <t>灵击</t>
  </si>
  <si>
    <t>连击</t>
  </si>
  <si>
    <t>追击</t>
  </si>
  <si>
    <t>弹续击</t>
    <phoneticPr fontId="1" type="noConversion"/>
  </si>
  <si>
    <t>i_failed_attack_be_defend</t>
  </si>
  <si>
    <t>抓击</t>
    <phoneticPr fontId="1" type="noConversion"/>
  </si>
  <si>
    <t>i_failed_attack_be_escape</t>
  </si>
  <si>
    <t>猛攻</t>
    <phoneticPr fontId="1" type="noConversion"/>
  </si>
  <si>
    <t>猛攻1</t>
    <phoneticPr fontId="1" type="noConversion"/>
  </si>
  <si>
    <t>搔乱</t>
    <phoneticPr fontId="1" type="noConversion"/>
  </si>
  <si>
    <t>先攻之利</t>
    <phoneticPr fontId="1" type="noConversion"/>
  </si>
  <si>
    <t>微微乱局</t>
    <phoneticPr fontId="1" type="noConversion"/>
  </si>
  <si>
    <t>麻痹小击</t>
    <phoneticPr fontId="1" type="noConversion"/>
  </si>
  <si>
    <t>乘势之利</t>
    <phoneticPr fontId="1" type="noConversion"/>
  </si>
  <si>
    <t>战后歇</t>
    <phoneticPr fontId="1" type="noConversion"/>
  </si>
  <si>
    <t>小流血</t>
    <phoneticPr fontId="1" type="noConversion"/>
  </si>
  <si>
    <t>零食</t>
    <phoneticPr fontId="1" type="noConversion"/>
  </si>
  <si>
    <t>小嚣张</t>
    <phoneticPr fontId="1" type="noConversion"/>
  </si>
  <si>
    <t>贪是贪</t>
    <phoneticPr fontId="1" type="noConversion"/>
  </si>
  <si>
    <t>奇异差</t>
    <phoneticPr fontId="1" type="noConversion"/>
  </si>
  <si>
    <t>怎知未来</t>
    <phoneticPr fontId="1" type="noConversion"/>
  </si>
  <si>
    <t>小碎石</t>
    <phoneticPr fontId="1" type="noConversion"/>
  </si>
  <si>
    <t>小小糖丸</t>
    <phoneticPr fontId="1" type="noConversion"/>
  </si>
  <si>
    <t>劣势见机</t>
    <phoneticPr fontId="1" type="noConversion"/>
  </si>
  <si>
    <t>小诅咒</t>
    <phoneticPr fontId="1" type="noConversion"/>
  </si>
  <si>
    <t>怒</t>
    <phoneticPr fontId="1" type="noConversion"/>
  </si>
  <si>
    <t>见缝休息</t>
    <phoneticPr fontId="1" type="noConversion"/>
  </si>
  <si>
    <t>碰擦</t>
    <phoneticPr fontId="1" type="noConversion"/>
  </si>
  <si>
    <t>小循环</t>
    <phoneticPr fontId="1" type="noConversion"/>
  </si>
  <si>
    <t>小滋补</t>
    <phoneticPr fontId="1" type="noConversion"/>
  </si>
  <si>
    <t>趁势</t>
    <phoneticPr fontId="1" type="noConversion"/>
  </si>
  <si>
    <t>忽见未来</t>
    <phoneticPr fontId="1" type="noConversion"/>
  </si>
  <si>
    <t>麻利见机</t>
    <phoneticPr fontId="1" type="noConversion"/>
  </si>
  <si>
    <t>i_success_use_card</t>
  </si>
  <si>
    <t>小小奖励</t>
    <phoneticPr fontId="1" type="noConversion"/>
  </si>
  <si>
    <t>小气势</t>
    <phoneticPr fontId="1" type="noConversion"/>
  </si>
  <si>
    <t>再攻之机</t>
    <phoneticPr fontId="1" type="noConversion"/>
  </si>
  <si>
    <t>高速雪球</t>
    <phoneticPr fontId="1" type="noConversion"/>
  </si>
  <si>
    <t>嗜血之机</t>
    <phoneticPr fontId="1" type="noConversion"/>
  </si>
  <si>
    <t>i_success_do_dmg_effect</t>
  </si>
  <si>
    <t>嗜血体</t>
    <phoneticPr fontId="1" type="noConversion"/>
  </si>
  <si>
    <t>暗器之乱</t>
    <phoneticPr fontId="1" type="noConversion"/>
  </si>
  <si>
    <t>人物效果</t>
    <phoneticPr fontId="1" type="noConversion"/>
  </si>
  <si>
    <t>初始量</t>
    <phoneticPr fontId="1" type="noConversion"/>
  </si>
  <si>
    <t>被动</t>
    <phoneticPr fontId="1" type="noConversion"/>
  </si>
  <si>
    <t>必发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</si>
</sst>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0"/>
      <color rgb="FF000000"/>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2" fillId="0" borderId="0" xfId="0" applyFont="1"/>
    <xf numFmtId="49"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75"/>
  <sheetViews>
    <sheetView tabSelected="1" workbookViewId="0">
      <pane ySplit="1" topLeftCell="A150" activePane="bottomLeft" state="frozen"/>
      <selection activeCell="C1" sqref="C1"/>
      <selection pane="bottomLeft" activeCell="F164" sqref="F164"/>
    </sheetView>
  </sheetViews>
  <sheetFormatPr defaultRowHeight="13.8" x14ac:dyDescent="0.25"/>
  <cols>
    <col min="1" max="1" width="10.44140625" style="3" customWidth="1"/>
    <col min="3" max="3" width="13.44140625" customWidth="1"/>
    <col min="5" max="5" width="8.77734375" customWidth="1"/>
    <col min="6" max="6" width="42.88671875" customWidth="1"/>
    <col min="7" max="7" width="16.21875" customWidth="1"/>
    <col min="8" max="8" width="51.21875" customWidth="1"/>
    <col min="9" max="9" width="7" customWidth="1"/>
    <col min="13" max="13" width="8" customWidth="1"/>
    <col min="14" max="14" width="9" customWidth="1"/>
    <col min="15" max="15" width="15.21875" customWidth="1"/>
    <col min="16" max="16" width="13.77734375" bestFit="1" customWidth="1"/>
    <col min="20" max="20" width="8.77734375" bestFit="1" customWidth="1"/>
    <col min="21" max="21" width="8.77734375" customWidth="1"/>
    <col min="25" max="25" width="13.88671875" bestFit="1" customWidth="1"/>
  </cols>
  <sheetData>
    <row r="1" spans="1:26" x14ac:dyDescent="0.25">
      <c r="A1" s="3" t="s">
        <v>12</v>
      </c>
      <c r="B1" t="s">
        <v>11</v>
      </c>
      <c r="C1" t="s">
        <v>10</v>
      </c>
      <c r="D1" t="s">
        <v>220</v>
      </c>
      <c r="E1" t="s">
        <v>221</v>
      </c>
      <c r="F1" t="s">
        <v>13</v>
      </c>
      <c r="G1" t="s">
        <v>14</v>
      </c>
      <c r="H1" t="s">
        <v>15</v>
      </c>
      <c r="I1" t="s">
        <v>533</v>
      </c>
      <c r="J1" t="s">
        <v>194</v>
      </c>
      <c r="K1" t="s">
        <v>637</v>
      </c>
      <c r="L1" t="s">
        <v>570</v>
      </c>
      <c r="M1" t="s">
        <v>534</v>
      </c>
      <c r="N1" t="s">
        <v>28</v>
      </c>
      <c r="O1" t="s">
        <v>484</v>
      </c>
      <c r="P1" t="s">
        <v>16</v>
      </c>
      <c r="Q1" t="s">
        <v>169</v>
      </c>
      <c r="R1" t="s">
        <v>69</v>
      </c>
      <c r="S1" t="s">
        <v>600</v>
      </c>
      <c r="T1" t="s">
        <v>683</v>
      </c>
      <c r="U1" t="s">
        <v>641</v>
      </c>
      <c r="V1" t="s">
        <v>70</v>
      </c>
      <c r="W1" t="s">
        <v>820</v>
      </c>
      <c r="X1" t="s">
        <v>72</v>
      </c>
      <c r="Y1" t="s">
        <v>90</v>
      </c>
      <c r="Z1" t="s">
        <v>89</v>
      </c>
    </row>
    <row r="2" spans="1:26" x14ac:dyDescent="0.25">
      <c r="A2" s="3">
        <v>400</v>
      </c>
      <c r="B2" t="s">
        <v>7</v>
      </c>
      <c r="C2" t="s">
        <v>0</v>
      </c>
      <c r="F2" t="str">
        <f>IF(I2="","",SUBSTITUTE(VLOOKUP(I2,event!E:F,2,0),"?",J2))</f>
        <v>自己普攻成功或自己回合自己未处于搏斗状态</v>
      </c>
      <c r="G2" t="str">
        <f>IF(M2="","",SUBSTITUTE(VLOOKUP(M2,effect!B:E,4,0),"?",N2))</f>
        <v/>
      </c>
      <c r="H2" t="str">
        <f>SUBSTITUTE(VLOOKUP(O2,effect!B:E,4,0),"?",P2)</f>
        <v>自己发动1次普攻</v>
      </c>
      <c r="I2" t="s">
        <v>535</v>
      </c>
      <c r="O2" t="s">
        <v>485</v>
      </c>
      <c r="Q2" t="s">
        <v>181</v>
      </c>
      <c r="R2" t="s">
        <v>181</v>
      </c>
      <c r="S2" t="s">
        <v>181</v>
      </c>
    </row>
    <row r="3" spans="1:26" x14ac:dyDescent="0.25">
      <c r="A3" s="3">
        <v>401</v>
      </c>
      <c r="B3" t="s">
        <v>7</v>
      </c>
      <c r="C3" t="s">
        <v>1</v>
      </c>
      <c r="F3" t="str">
        <f>IF(I3="","",SUBSTITUTE(VLOOKUP(I3,event!E:F,2,0),"?",J3))</f>
        <v>自己即将受到普攻</v>
      </c>
      <c r="G3" t="str">
        <f>IF(M3="","",SUBSTITUTE(VLOOKUP(M3,effect!B:E,4,0),"?",N3))</f>
        <v/>
      </c>
      <c r="H3" t="str">
        <f>SUBSTITUTE(VLOOKUP(O3,effect!B:E,4,0),"?",P3)</f>
        <v>自己躲避本次普攻</v>
      </c>
      <c r="I3" t="s">
        <v>217</v>
      </c>
      <c r="O3" t="s">
        <v>483</v>
      </c>
      <c r="Q3" t="s">
        <v>181</v>
      </c>
      <c r="R3" t="s">
        <v>181</v>
      </c>
      <c r="S3" t="s">
        <v>181</v>
      </c>
    </row>
    <row r="4" spans="1:26" x14ac:dyDescent="0.25">
      <c r="A4" s="3">
        <v>402</v>
      </c>
      <c r="B4" t="s">
        <v>7</v>
      </c>
      <c r="C4" s="1" t="s">
        <v>145</v>
      </c>
      <c r="D4" s="1"/>
      <c r="F4" t="str">
        <f>IF(I4="","",SUBSTITUTE(VLOOKUP(I4,event!E:F,2,0),"?",J4))</f>
        <v/>
      </c>
      <c r="G4" t="str">
        <f>IF(M4="","",SUBSTITUTE(VLOOKUP(M4,effect!B:E,4,0),"?",N4))</f>
        <v/>
      </c>
      <c r="H4" t="str">
        <f>SUBSTITUTE(VLOOKUP(O4,effect!B:E,4,0),"?",P4)</f>
        <v>自己指定1人回复4血</v>
      </c>
      <c r="O4" t="s">
        <v>360</v>
      </c>
      <c r="P4">
        <v>4</v>
      </c>
      <c r="Q4" t="s">
        <v>181</v>
      </c>
      <c r="R4" t="s">
        <v>181</v>
      </c>
      <c r="S4" t="s">
        <v>181</v>
      </c>
    </row>
    <row r="5" spans="1:26" x14ac:dyDescent="0.25">
      <c r="A5" s="3">
        <v>403</v>
      </c>
      <c r="B5" t="s">
        <v>7</v>
      </c>
      <c r="C5" t="s">
        <v>2</v>
      </c>
      <c r="F5" t="str">
        <f>IF(I5="","",SUBSTITUTE(VLOOKUP(I5,event!E:F,2,0),"?",J5))</f>
        <v>自己参与搏斗</v>
      </c>
      <c r="G5" t="str">
        <f>IF(M5="","",SUBSTITUTE(VLOOKUP(M5,effect!B:E,4,0),"?",N5))</f>
        <v/>
      </c>
      <c r="H5" t="str">
        <f>SUBSTITUTE(VLOOKUP(O5,effect!B:E,4,0),"?",P5)</f>
        <v>自己使 目标 伤1血</v>
      </c>
      <c r="I5" t="s">
        <v>536</v>
      </c>
      <c r="O5" t="s">
        <v>380</v>
      </c>
      <c r="P5">
        <v>1</v>
      </c>
      <c r="Q5" t="s">
        <v>181</v>
      </c>
      <c r="R5" t="s">
        <v>181</v>
      </c>
      <c r="S5" t="s">
        <v>181</v>
      </c>
    </row>
    <row r="6" spans="1:26" x14ac:dyDescent="0.25">
      <c r="A6" s="3">
        <v>404</v>
      </c>
      <c r="B6" t="s">
        <v>7</v>
      </c>
      <c r="C6" t="s">
        <v>3</v>
      </c>
      <c r="F6" t="str">
        <f>IF(I6="","",SUBSTITUTE(VLOOKUP(I6,event!E:F,2,0),"?",J6))</f>
        <v>自己即将受到普攻</v>
      </c>
      <c r="G6" t="str">
        <f>IF(M6="","",SUBSTITUTE(VLOOKUP(M6,effect!B:E,4,0),"?",N6))</f>
        <v/>
      </c>
      <c r="H6" t="str">
        <f>SUBSTITUTE(VLOOKUP(O6,effect!B:E,4,0),"?",P6)</f>
        <v>躲避此次普攻，目标 武器全被破坏</v>
      </c>
      <c r="I6" t="s">
        <v>217</v>
      </c>
      <c r="O6" t="s">
        <v>405</v>
      </c>
      <c r="Q6" t="s">
        <v>181</v>
      </c>
      <c r="R6" t="s">
        <v>181</v>
      </c>
      <c r="S6" t="s">
        <v>181</v>
      </c>
    </row>
    <row r="7" spans="1:26" ht="11.4" customHeight="1" x14ac:dyDescent="0.25">
      <c r="A7" s="3">
        <v>405</v>
      </c>
      <c r="B7" t="s">
        <v>7</v>
      </c>
      <c r="C7" t="s">
        <v>4</v>
      </c>
      <c r="F7" t="str">
        <f>IF(I7="","",SUBSTITUTE(VLOOKUP(I7,event!E:F,2,0),"?",J7))</f>
        <v/>
      </c>
      <c r="G7" t="str">
        <f>IF(M7="","",SUBSTITUTE(VLOOKUP(M7,effect!B:E,4,0),"?",N7))</f>
        <v/>
      </c>
      <c r="H7" t="str">
        <f>SUBSTITUTE(VLOOKUP(O7,effect!B:E,4,0),"?",P7)</f>
        <v>自己选一以下效果进行发动：
(1)指定1人的人物效果一轮回内无法发动
(2)破坏场上一张 装备卡 或 场景卡 或 结界卡
(3)非人物卡 发动无效并破坏</v>
      </c>
      <c r="O7" t="s">
        <v>486</v>
      </c>
      <c r="Q7" t="s">
        <v>181</v>
      </c>
      <c r="R7" t="s">
        <v>181</v>
      </c>
      <c r="S7" t="s">
        <v>181</v>
      </c>
    </row>
    <row r="8" spans="1:26" ht="11.4" customHeight="1" x14ac:dyDescent="0.25">
      <c r="A8" s="3" t="s">
        <v>695</v>
      </c>
      <c r="B8" t="s">
        <v>116</v>
      </c>
      <c r="C8" t="s">
        <v>696</v>
      </c>
      <c r="H8" t="str">
        <f>SUBSTITUTE(VLOOKUP(O8,effect!B:E,4,0),"?",P8)</f>
        <v>自己自身效果无效化</v>
      </c>
      <c r="O8" t="s">
        <v>647</v>
      </c>
      <c r="Q8" t="s">
        <v>182</v>
      </c>
      <c r="R8" t="s">
        <v>183</v>
      </c>
      <c r="Y8" t="s">
        <v>697</v>
      </c>
      <c r="Z8">
        <v>1</v>
      </c>
    </row>
    <row r="9" spans="1:26" x14ac:dyDescent="0.25">
      <c r="A9" s="3">
        <v>406</v>
      </c>
      <c r="B9" t="s">
        <v>7</v>
      </c>
      <c r="C9" t="s">
        <v>5</v>
      </c>
      <c r="F9" t="str">
        <f>IF(I9="","",SUBSTITUTE(VLOOKUP(I9,event!E:F,2,0),"?",J9))</f>
        <v>自己普攻成功</v>
      </c>
      <c r="G9" t="str">
        <f>IF(M9="","",SUBSTITUTE(VLOOKUP(M9,effect!B:E,4,0),"?",N9))</f>
        <v/>
      </c>
      <c r="H9" t="str">
        <f>SUBSTITUTE(VLOOKUP(O9,effect!B:E,4,0),"?",P9)</f>
        <v>自己使 目标 伤2血</v>
      </c>
      <c r="I9" t="s">
        <v>537</v>
      </c>
      <c r="O9" t="s">
        <v>380</v>
      </c>
      <c r="P9">
        <v>2</v>
      </c>
      <c r="Q9" t="s">
        <v>181</v>
      </c>
      <c r="R9" t="s">
        <v>181</v>
      </c>
      <c r="S9" t="s">
        <v>181</v>
      </c>
    </row>
    <row r="10" spans="1:26" x14ac:dyDescent="0.25">
      <c r="A10" s="3">
        <v>407</v>
      </c>
      <c r="B10" t="s">
        <v>7</v>
      </c>
      <c r="C10" t="s">
        <v>6</v>
      </c>
      <c r="F10" t="str">
        <f>IF(I10="","",SUBSTITUTE(VLOOKUP(I10,event!E:F,2,0),"?",J10))</f>
        <v>己方回合自己未处于搏斗</v>
      </c>
      <c r="G10" t="str">
        <f>IF(M10="","",SUBSTITUTE(VLOOKUP(M10,effect!B:E,4,0),"?",N10))</f>
        <v/>
      </c>
      <c r="H10" t="str">
        <f>SUBSTITUTE(VLOOKUP(O10,effect!B:E,4,0),"?",P10)</f>
        <v>自己指定1人3次50%伤1血，若全中则其装备全部被破坏</v>
      </c>
      <c r="I10" t="s">
        <v>538</v>
      </c>
      <c r="O10" t="s">
        <v>678</v>
      </c>
      <c r="Q10" t="s">
        <v>181</v>
      </c>
      <c r="R10" t="s">
        <v>181</v>
      </c>
      <c r="S10" t="s">
        <v>181</v>
      </c>
    </row>
    <row r="11" spans="1:26" x14ac:dyDescent="0.25">
      <c r="A11" s="3" t="s">
        <v>675</v>
      </c>
      <c r="B11" t="s">
        <v>116</v>
      </c>
      <c r="C11" t="s">
        <v>676</v>
      </c>
      <c r="F11" t="str">
        <f>IF(I11="","",SUBSTITUTE(VLOOKUP(I11,event!E:F,2,0),"?",J11))</f>
        <v>自己受到伤血效果</v>
      </c>
      <c r="H11" t="str">
        <f>SUBSTITUTE(VLOOKUP(O11,effect!B:E,4,0),"?",P11)</f>
        <v>给本buff增加token数量，检测token数量若超过三，摧毁自己所有武器</v>
      </c>
      <c r="I11" t="s">
        <v>274</v>
      </c>
      <c r="O11" t="s">
        <v>680</v>
      </c>
      <c r="Q11" t="s">
        <v>682</v>
      </c>
      <c r="U11" t="s">
        <v>677</v>
      </c>
      <c r="V11" t="s">
        <v>682</v>
      </c>
      <c r="W11">
        <v>0</v>
      </c>
      <c r="Y11" t="s">
        <v>155</v>
      </c>
      <c r="Z11">
        <v>3</v>
      </c>
    </row>
    <row r="12" spans="1:26" x14ac:dyDescent="0.25">
      <c r="A12" s="3">
        <v>60</v>
      </c>
      <c r="B12" t="s">
        <v>78</v>
      </c>
      <c r="C12" t="s">
        <v>77</v>
      </c>
      <c r="F12" t="str">
        <f>IF(I12="","",SUBSTITUTE(VLOOKUP(I12,event!E:F,2,0),"?",J12))</f>
        <v>自己普攻失败</v>
      </c>
      <c r="G12" t="str">
        <f>IF(M12="","",SUBSTITUTE(VLOOKUP(M12,effect!B:E,4,0),"?",N12))</f>
        <v>自己丢光手卡</v>
      </c>
      <c r="H12" t="str">
        <f>SUBSTITUTE(VLOOKUP(O12,effect!B:E,4,0),"?",P12)</f>
        <v>敌方所有人武器全部破坏且伤1血</v>
      </c>
      <c r="I12" t="s">
        <v>539</v>
      </c>
      <c r="M12" t="s">
        <v>560</v>
      </c>
      <c r="O12" t="s">
        <v>407</v>
      </c>
      <c r="P12">
        <v>1</v>
      </c>
      <c r="R12" t="s">
        <v>181</v>
      </c>
      <c r="S12" t="s">
        <v>181</v>
      </c>
    </row>
    <row r="13" spans="1:26" x14ac:dyDescent="0.25">
      <c r="A13" s="3">
        <v>61</v>
      </c>
      <c r="B13" t="s">
        <v>78</v>
      </c>
      <c r="C13" t="s">
        <v>79</v>
      </c>
      <c r="F13" t="str">
        <f>IF(I13="","",SUBSTITUTE(VLOOKUP(I13,event!E:F,2,0),"?",J13))</f>
        <v>自己参与的1次事件连锁超过4次</v>
      </c>
      <c r="G13" t="str">
        <f>IF(M13="","",SUBSTITUTE(VLOOKUP(M13,effect!B:E,4,0),"?",N13))</f>
        <v/>
      </c>
      <c r="H13" t="str">
        <f>SUBSTITUTE(VLOOKUP(O13,effect!B:E,4,0),"?",P13)</f>
        <v>自己对 目标 造成3血超伤，此回合被强制结束</v>
      </c>
      <c r="I13" t="s">
        <v>540</v>
      </c>
      <c r="O13" t="s">
        <v>413</v>
      </c>
      <c r="P13">
        <v>3</v>
      </c>
      <c r="Q13" t="s">
        <v>181</v>
      </c>
      <c r="R13" t="s">
        <v>181</v>
      </c>
      <c r="S13" t="s">
        <v>181</v>
      </c>
    </row>
    <row r="14" spans="1:26" x14ac:dyDescent="0.25">
      <c r="A14" s="3">
        <v>62</v>
      </c>
      <c r="B14" t="s">
        <v>78</v>
      </c>
      <c r="C14" t="s">
        <v>80</v>
      </c>
      <c r="F14" t="str">
        <f>IF(I14="","",SUBSTITUTE(VLOOKUP(I14,event!E:F,2,0),"?",J14))</f>
        <v>自己回合自己未处于搏斗</v>
      </c>
      <c r="G14" t="str">
        <f>IF(M14="","",SUBSTITUTE(VLOOKUP(M14,effect!B:E,4,0),"?",N14))</f>
        <v/>
      </c>
      <c r="H14" t="str">
        <f>SUBSTITUTE(VLOOKUP(O14,effect!B:E,4,0),"?",P14)</f>
        <v>自己指定1人伤1血且此回合不能行动(对手可丢1卡躲避此效果)</v>
      </c>
      <c r="I14" t="s">
        <v>606</v>
      </c>
      <c r="O14" t="s">
        <v>604</v>
      </c>
      <c r="Q14" t="s">
        <v>181</v>
      </c>
      <c r="R14" t="s">
        <v>181</v>
      </c>
      <c r="S14" t="s">
        <v>181</v>
      </c>
    </row>
    <row r="15" spans="1:26" x14ac:dyDescent="0.25">
      <c r="A15" s="3">
        <v>10620</v>
      </c>
      <c r="B15" t="s">
        <v>94</v>
      </c>
      <c r="C15" t="s">
        <v>389</v>
      </c>
      <c r="F15" t="str">
        <f>IF(I15="","",SUBSTITUTE(VLOOKUP(I15,event!E:F,2,0),"?",J15))</f>
        <v>自己成功造成效果伤血</v>
      </c>
      <c r="G15" t="str">
        <f>IF(M15="","",SUBSTITUTE(VLOOKUP(M15,effect!B:E,4,0),"?",N15))</f>
        <v/>
      </c>
      <c r="H15" t="str">
        <f>SUBSTITUTE(VLOOKUP(O15,effect!B:E,4,0),"?",P15)</f>
        <v>给单一对手添加buff</v>
      </c>
      <c r="I15" t="s">
        <v>302</v>
      </c>
      <c r="O15" t="s">
        <v>359</v>
      </c>
      <c r="P15" s="3">
        <f>A16</f>
        <v>10621</v>
      </c>
      <c r="Q15" t="s">
        <v>182</v>
      </c>
      <c r="R15" t="s">
        <v>183</v>
      </c>
      <c r="S15" t="s">
        <v>184</v>
      </c>
      <c r="U15" t="s">
        <v>642</v>
      </c>
      <c r="X15" t="s">
        <v>91</v>
      </c>
      <c r="Y15" t="s">
        <v>155</v>
      </c>
    </row>
    <row r="16" spans="1:26" x14ac:dyDescent="0.25">
      <c r="A16" s="3">
        <v>10621</v>
      </c>
      <c r="B16" t="s">
        <v>116</v>
      </c>
      <c r="C16" t="s">
        <v>390</v>
      </c>
      <c r="F16" t="str">
        <f>IF(I16="","",SUBSTITUTE(VLOOKUP(I16,event!E:F,2,0),"?",J16))</f>
        <v/>
      </c>
      <c r="G16" t="str">
        <f>IF(M16="","",SUBSTITUTE(VLOOKUP(M16,effect!B:E,4,0),"?",N16))</f>
        <v/>
      </c>
      <c r="H16" t="str">
        <f>SUBSTITUTE(VLOOKUP(O16,effect!B:E,4,0),"?",P16)</f>
        <v>自己无法行动</v>
      </c>
      <c r="O16" t="s">
        <v>487</v>
      </c>
      <c r="Q16" t="s">
        <v>182</v>
      </c>
      <c r="R16" t="s">
        <v>183</v>
      </c>
      <c r="X16" t="s">
        <v>91</v>
      </c>
      <c r="Y16" t="s">
        <v>93</v>
      </c>
      <c r="Z16">
        <v>1</v>
      </c>
    </row>
    <row r="17" spans="1:25" x14ac:dyDescent="0.25">
      <c r="A17" s="3">
        <v>63</v>
      </c>
      <c r="B17" t="s">
        <v>78</v>
      </c>
      <c r="C17" t="s">
        <v>81</v>
      </c>
      <c r="F17" t="str">
        <f>IF(I17="","",SUBSTITUTE(VLOOKUP(I17,event!E:F,2,0),"?",J17))</f>
        <v>自己回合自己未处于搏斗</v>
      </c>
      <c r="G17" t="str">
        <f>IF(M17="","",SUBSTITUTE(VLOOKUP(M17,effect!B:E,4,0),"?",N17))</f>
        <v/>
      </c>
      <c r="H17" t="str">
        <f>SUBSTITUTE(VLOOKUP(O17,effect!B:E,4,0),"?",P17)</f>
        <v>自己抽1卡,将抽到的该卡公开,自己这回合的规则性普攻次数被重置为1</v>
      </c>
      <c r="I17" t="s">
        <v>541</v>
      </c>
      <c r="O17" t="s">
        <v>446</v>
      </c>
      <c r="Q17" t="s">
        <v>181</v>
      </c>
      <c r="R17" t="s">
        <v>181</v>
      </c>
      <c r="S17" t="s">
        <v>181</v>
      </c>
    </row>
    <row r="18" spans="1:25" x14ac:dyDescent="0.25">
      <c r="A18" s="3" t="s">
        <v>596</v>
      </c>
      <c r="B18" t="s">
        <v>116</v>
      </c>
      <c r="C18" t="s">
        <v>597</v>
      </c>
      <c r="F18" t="str">
        <f>IF(I18="","",SUBSTITUTE(VLOOKUP(I18,event!E:F,2,0),"?",J18))</f>
        <v>自己抽卡</v>
      </c>
      <c r="G18" t="str">
        <f>IF(M18="","",SUBSTITUTE(VLOOKUP(M18,effect!B:E,4,0),"?",N18))</f>
        <v/>
      </c>
      <c r="H18" t="str">
        <f>SUBSTITUTE(VLOOKUP(O18,effect!B:E,4,0),"?",P18)</f>
        <v>将自己抽到的卡公开</v>
      </c>
      <c r="I18" t="s">
        <v>297</v>
      </c>
      <c r="O18" t="s">
        <v>598</v>
      </c>
      <c r="Q18" t="s">
        <v>182</v>
      </c>
      <c r="R18" t="s">
        <v>183</v>
      </c>
      <c r="S18" t="s">
        <v>184</v>
      </c>
      <c r="U18" t="s">
        <v>642</v>
      </c>
      <c r="X18" t="s">
        <v>91</v>
      </c>
      <c r="Y18" t="s">
        <v>599</v>
      </c>
    </row>
    <row r="19" spans="1:25" x14ac:dyDescent="0.25">
      <c r="A19" s="3">
        <v>64</v>
      </c>
      <c r="B19" t="s">
        <v>78</v>
      </c>
      <c r="C19" t="s">
        <v>82</v>
      </c>
      <c r="F19" t="str">
        <f>IF(I19="","",SUBSTITUTE(VLOOKUP(I19,event!E:F,2,0),"?",J19))</f>
        <v>自己即将受到普攻</v>
      </c>
      <c r="G19" t="str">
        <f>IF(M19="","",SUBSTITUTE(VLOOKUP(M19,effect!B:E,4,0),"?",N19))</f>
        <v/>
      </c>
      <c r="H19" t="str">
        <f>SUBSTITUTE(VLOOKUP(O19,effect!B:E,4,0),"?",P19)</f>
        <v>自己抽1卡且躲避此次普攻,自己可普攻 发动普攻者 1次</v>
      </c>
      <c r="I19" t="s">
        <v>217</v>
      </c>
      <c r="O19" t="s">
        <v>454</v>
      </c>
      <c r="Q19" t="s">
        <v>181</v>
      </c>
      <c r="R19" t="s">
        <v>181</v>
      </c>
      <c r="S19" t="s">
        <v>181</v>
      </c>
    </row>
    <row r="20" spans="1:25" x14ac:dyDescent="0.25">
      <c r="A20" s="3">
        <v>65</v>
      </c>
      <c r="B20" t="s">
        <v>78</v>
      </c>
      <c r="C20" t="s">
        <v>83</v>
      </c>
      <c r="F20" t="str">
        <f>IF(I20="","",SUBSTITUTE(VLOOKUP(I20,event!E:F,2,0),"?",J20))</f>
        <v>自己即将受到致命伤血</v>
      </c>
      <c r="G20" t="str">
        <f>IF(M20="","",SUBSTITUTE(VLOOKUP(M20,effect!B:E,4,0),"?",N20))</f>
        <v/>
      </c>
      <c r="H20" t="str">
        <f>SUBSTITUTE(VLOOKUP(O20,effect!B:E,4,0),"?",P20)</f>
        <v>此次伤血无效化且此回合自己攻击力翻倍，自己可对其进行1次普攻</v>
      </c>
      <c r="I20" t="s">
        <v>543</v>
      </c>
      <c r="O20" t="s">
        <v>687</v>
      </c>
      <c r="Q20" t="s">
        <v>181</v>
      </c>
      <c r="R20" t="s">
        <v>181</v>
      </c>
      <c r="S20" t="s">
        <v>181</v>
      </c>
    </row>
    <row r="21" spans="1:25" x14ac:dyDescent="0.25">
      <c r="A21" s="3">
        <v>66</v>
      </c>
      <c r="B21" t="s">
        <v>78</v>
      </c>
      <c r="C21" t="s">
        <v>95</v>
      </c>
      <c r="F21" t="str">
        <f>IF(I21="","",SUBSTITUTE(VLOOKUP(I21,event!E:F,2,0),"?",J21))</f>
        <v>此回合自己成功普攻超过2次且自己普攻成功</v>
      </c>
      <c r="G21" t="str">
        <f>IF(M21="","",SUBSTITUTE(VLOOKUP(M21,effect!B:E,4,0),"?",N21))</f>
        <v/>
      </c>
      <c r="H21" t="str">
        <f>SUBSTITUTE(VLOOKUP(O21,effect!B:E,4,0),"?",P21)</f>
        <v>自己对 目标 造成4血超伤</v>
      </c>
      <c r="I21" t="s">
        <v>544</v>
      </c>
      <c r="O21" t="s">
        <v>367</v>
      </c>
      <c r="P21">
        <v>4</v>
      </c>
      <c r="Q21" t="s">
        <v>181</v>
      </c>
      <c r="R21" t="s">
        <v>181</v>
      </c>
      <c r="S21" t="s">
        <v>181</v>
      </c>
    </row>
    <row r="22" spans="1:25" x14ac:dyDescent="0.25">
      <c r="A22" s="3">
        <v>67</v>
      </c>
      <c r="B22" t="s">
        <v>78</v>
      </c>
      <c r="C22" t="s">
        <v>96</v>
      </c>
      <c r="F22" t="str">
        <f>IF(I22="","",SUBSTITUTE(VLOOKUP(I22,event!E:F,2,0),"?",J22))</f>
        <v>己方回合自己未处于搏斗</v>
      </c>
      <c r="G22" t="str">
        <f>IF(M22="","",SUBSTITUTE(VLOOKUP(M22,effect!B:E,4,0),"?",N22))</f>
        <v/>
      </c>
      <c r="H22" t="str">
        <f>SUBSTITUTE(VLOOKUP(O22,effect!B:E,4,0),"?",P22)</f>
        <v>此回合之后的3轮回内自己若受到致命伤血，使 发动者 受到之前自己丢光手卡数值×2的伤血</v>
      </c>
      <c r="I22" t="s">
        <v>538</v>
      </c>
      <c r="O22" t="s">
        <v>498</v>
      </c>
      <c r="Q22" t="s">
        <v>181</v>
      </c>
      <c r="R22" t="s">
        <v>181</v>
      </c>
      <c r="S22" t="s">
        <v>181</v>
      </c>
    </row>
    <row r="23" spans="1:25" x14ac:dyDescent="0.25">
      <c r="A23" s="3">
        <v>10670</v>
      </c>
      <c r="B23" t="s">
        <v>462</v>
      </c>
      <c r="C23" t="s">
        <v>97</v>
      </c>
      <c r="F23" t="str">
        <f>IF(I23="","",SUBSTITUTE(VLOOKUP(I23,event!E:F,2,0),"?",J23))</f>
        <v>自己受到致命伤血</v>
      </c>
      <c r="G23" t="str">
        <f>IF(M23="","",SUBSTITUTE(VLOOKUP(M23,effect!B:E,4,0),"?",N23))</f>
        <v/>
      </c>
      <c r="H23" t="str">
        <f>SUBSTITUTE(VLOOKUP(O23,effect!B:E,4,0),"?",P23)</f>
        <v>自己使 目标 伤血</v>
      </c>
      <c r="I23" t="s">
        <v>545</v>
      </c>
      <c r="O23" t="s">
        <v>380</v>
      </c>
    </row>
    <row r="24" spans="1:25" x14ac:dyDescent="0.25">
      <c r="A24" s="3">
        <v>68</v>
      </c>
      <c r="B24" t="s">
        <v>78</v>
      </c>
      <c r="C24" t="s">
        <v>99</v>
      </c>
      <c r="F24" t="str">
        <f>IF(I24="","",SUBSTITUTE(VLOOKUP(I24,event!E:F,2,0),"?",J24))</f>
        <v>自己回合自己未处于搏斗</v>
      </c>
      <c r="G24" t="str">
        <f>IF(M24="","",SUBSTITUTE(VLOOKUP(M24,effect!B:E,4,0),"?",N24))</f>
        <v/>
      </c>
      <c r="H24" t="str">
        <f>SUBSTITUTE(VLOOKUP(O24,effect!B:E,4,0),"?",P24)</f>
        <v>破坏场上所有场景卡和结界卡,每破坏1张,使 放置该卡者 伤2血</v>
      </c>
      <c r="I24" t="s">
        <v>541</v>
      </c>
      <c r="O24" t="s">
        <v>411</v>
      </c>
      <c r="Q24" t="s">
        <v>181</v>
      </c>
      <c r="R24" t="s">
        <v>181</v>
      </c>
      <c r="S24" t="s">
        <v>181</v>
      </c>
    </row>
    <row r="25" spans="1:25" x14ac:dyDescent="0.25">
      <c r="A25" s="3">
        <v>69</v>
      </c>
      <c r="B25" t="s">
        <v>78</v>
      </c>
      <c r="C25" t="s">
        <v>101</v>
      </c>
      <c r="F25" t="str">
        <f>IF(I25="","",SUBSTITUTE(VLOOKUP(I25,event!E:F,2,0),"?",J25))</f>
        <v>自己即将死亡</v>
      </c>
      <c r="G25" t="str">
        <f>IF(M25="","",SUBSTITUTE(VLOOKUP(M25,effect!B:E,4,0),"?",N25))</f>
        <v/>
      </c>
      <c r="H25" t="str">
        <f>SUBSTITUTE(VLOOKUP(O25,effect!B:E,4,0),"?",P25)</f>
        <v>自己指定1人,将 自己全部手卡 加入他手卡</v>
      </c>
      <c r="I25" t="s">
        <v>546</v>
      </c>
      <c r="O25" t="s">
        <v>488</v>
      </c>
      <c r="Q25" t="s">
        <v>181</v>
      </c>
      <c r="R25" t="s">
        <v>181</v>
      </c>
      <c r="S25" t="s">
        <v>181</v>
      </c>
    </row>
    <row r="26" spans="1:25" x14ac:dyDescent="0.25">
      <c r="A26" s="3">
        <v>70</v>
      </c>
      <c r="B26" t="s">
        <v>78</v>
      </c>
      <c r="C26" t="s">
        <v>103</v>
      </c>
      <c r="F26" t="str">
        <f>IF(I26="","",SUBSTITUTE(VLOOKUP(I26,event!E:F,2,0),"?",J26))</f>
        <v>自己回合自己未处于搏斗</v>
      </c>
      <c r="G26" t="str">
        <f>IF(M26="","",SUBSTITUTE(VLOOKUP(M26,effect!B:E,4,0),"?",N26))</f>
        <v>自己血-3</v>
      </c>
      <c r="H26" t="str">
        <f>SUBSTITUTE(VLOOKUP(O26,effect!B:E,4,0),"?",P26)</f>
        <v>将卡堆最上方的2张武器卡给自己装备</v>
      </c>
      <c r="I26" t="s">
        <v>541</v>
      </c>
      <c r="M26" t="s">
        <v>563</v>
      </c>
      <c r="N26">
        <v>3</v>
      </c>
      <c r="O26" t="s">
        <v>393</v>
      </c>
      <c r="P26">
        <v>2</v>
      </c>
      <c r="Q26" t="s">
        <v>181</v>
      </c>
      <c r="R26" t="s">
        <v>181</v>
      </c>
      <c r="S26" t="s">
        <v>181</v>
      </c>
    </row>
    <row r="27" spans="1:25" x14ac:dyDescent="0.25">
      <c r="A27" s="3">
        <v>71</v>
      </c>
      <c r="B27" t="s">
        <v>78</v>
      </c>
      <c r="C27" t="s">
        <v>104</v>
      </c>
      <c r="F27" t="str">
        <f>IF(I27="","",SUBSTITUTE(VLOOKUP(I27,event!E:F,2,0),"?",J27))</f>
        <v>自己普攻成功</v>
      </c>
      <c r="G27" t="str">
        <f>IF(M27="","",SUBSTITUTE(VLOOKUP(M27,effect!B:E,4,0),"?",N27))</f>
        <v/>
      </c>
      <c r="H27" t="str">
        <f>SUBSTITUTE(VLOOKUP(O27,effect!B:E,4,0),"?",P27)</f>
        <v>自己对 被普攻者 进行1次普攻,此次普攻造成的普攻伤血翻倍</v>
      </c>
      <c r="I27" t="s">
        <v>537</v>
      </c>
      <c r="O27" t="s">
        <v>603</v>
      </c>
      <c r="Q27" t="s">
        <v>181</v>
      </c>
      <c r="R27" t="s">
        <v>181</v>
      </c>
      <c r="S27" t="s">
        <v>181</v>
      </c>
    </row>
    <row r="28" spans="1:25" x14ac:dyDescent="0.25">
      <c r="A28" s="3">
        <v>72</v>
      </c>
      <c r="B28" t="s">
        <v>78</v>
      </c>
      <c r="C28" t="s">
        <v>107</v>
      </c>
      <c r="F28" t="str">
        <f>IF(I28="","",SUBSTITUTE(VLOOKUP(I28,event!E:F,2,0),"?",J28))</f>
        <v>自己即将受到普攻</v>
      </c>
      <c r="G28" t="str">
        <f>IF(M28="","",SUBSTITUTE(VLOOKUP(M28,effect!B:E,4,0),"?",N28))</f>
        <v>自己丢光手卡</v>
      </c>
      <c r="H28" t="str">
        <f>SUBSTITUTE(VLOOKUP(O28,effect!B:E,4,0),"?",P28)</f>
        <v>使 普攻者 血量减半,自己躲避本次普攻</v>
      </c>
      <c r="I28" t="s">
        <v>217</v>
      </c>
      <c r="M28" t="s">
        <v>560</v>
      </c>
      <c r="O28" t="s">
        <v>444</v>
      </c>
      <c r="Q28" t="s">
        <v>181</v>
      </c>
      <c r="R28" t="s">
        <v>181</v>
      </c>
      <c r="S28" t="s">
        <v>181</v>
      </c>
    </row>
    <row r="29" spans="1:25" x14ac:dyDescent="0.25">
      <c r="A29" s="3">
        <v>73</v>
      </c>
      <c r="B29" t="s">
        <v>78</v>
      </c>
      <c r="C29" t="s">
        <v>27</v>
      </c>
      <c r="F29" t="str">
        <f>IF(I29="","",SUBSTITUTE(VLOOKUP(I29,event!E:F,2,0),"?",J29))</f>
        <v>自己武器槽未满</v>
      </c>
      <c r="G29" t="str">
        <f>IF(M29="","",SUBSTITUTE(VLOOKUP(M29,effect!B:E,4,0),"?",N29))</f>
        <v/>
      </c>
      <c r="H29" t="str">
        <f>SUBSTITUTE(VLOOKUP(O29,effect!B:E,4,0),"?",P29)</f>
        <v>装备上武器</v>
      </c>
      <c r="I29" t="s">
        <v>547</v>
      </c>
      <c r="O29" t="s">
        <v>489</v>
      </c>
      <c r="Q29" t="s">
        <v>181</v>
      </c>
      <c r="R29" t="s">
        <v>181</v>
      </c>
      <c r="S29" t="s">
        <v>181</v>
      </c>
    </row>
    <row r="30" spans="1:25" x14ac:dyDescent="0.25">
      <c r="A30" s="3">
        <v>74</v>
      </c>
      <c r="B30" t="s">
        <v>78</v>
      </c>
      <c r="C30" t="s">
        <v>109</v>
      </c>
      <c r="F30" t="str">
        <f>IF(I30="","",SUBSTITUTE(VLOOKUP(I30,event!E:F,2,0),"?",J30))</f>
        <v>自己受到伤血效果</v>
      </c>
      <c r="G30" t="str">
        <f>IF(M30="","",SUBSTITUTE(VLOOKUP(M30,effect!B:E,4,0),"?",N30))</f>
        <v>自己丢1手卡</v>
      </c>
      <c r="H30" t="str">
        <f>SUBSTITUTE(VLOOKUP(O30,effect!B:E,4,0),"?",P30)</f>
        <v>自己指定1人伤2血</v>
      </c>
      <c r="I30" t="s">
        <v>274</v>
      </c>
      <c r="M30" t="s">
        <v>561</v>
      </c>
      <c r="N30">
        <v>1</v>
      </c>
      <c r="O30" t="s">
        <v>673</v>
      </c>
      <c r="P30">
        <v>2</v>
      </c>
      <c r="Q30" t="s">
        <v>181</v>
      </c>
      <c r="R30" t="s">
        <v>181</v>
      </c>
      <c r="S30" t="s">
        <v>181</v>
      </c>
    </row>
    <row r="31" spans="1:25" x14ac:dyDescent="0.25">
      <c r="A31" s="3">
        <v>75</v>
      </c>
      <c r="B31" t="s">
        <v>78</v>
      </c>
      <c r="C31" t="s">
        <v>110</v>
      </c>
      <c r="F31" t="str">
        <f>IF(I31="","",SUBSTITUTE(VLOOKUP(I31,event!E:F,2,0),"?",J31))</f>
        <v/>
      </c>
      <c r="G31" t="str">
        <f>IF(M31="","",SUBSTITUTE(VLOOKUP(M31,effect!B:E,4,0),"?",N31))</f>
        <v/>
      </c>
      <c r="H31" t="str">
        <f>SUBSTITUTE(VLOOKUP(O31,effect!B:E,4,0),"?",P31)</f>
        <v>2轮回内,自己可丢1卡 无效化1次对己的非自主效果伤血 或 格挡1次普攻</v>
      </c>
      <c r="O31" t="s">
        <v>607</v>
      </c>
      <c r="Q31" t="s">
        <v>181</v>
      </c>
      <c r="R31" t="s">
        <v>181</v>
      </c>
      <c r="S31" t="s">
        <v>181</v>
      </c>
    </row>
    <row r="32" spans="1:25" x14ac:dyDescent="0.25">
      <c r="A32" s="3">
        <v>76</v>
      </c>
      <c r="B32" t="s">
        <v>78</v>
      </c>
      <c r="C32" t="s">
        <v>114</v>
      </c>
      <c r="F32" t="str">
        <f>IF(I32="","",SUBSTITUTE(VLOOKUP(I32,event!E:F,2,0),"?",J32))</f>
        <v>自己普攻失败</v>
      </c>
      <c r="G32" t="str">
        <f>IF(M32="","",SUBSTITUTE(VLOOKUP(M32,effect!B:E,4,0),"?",N32))</f>
        <v/>
      </c>
      <c r="H32" t="str">
        <f>SUBSTITUTE(VLOOKUP(O32,effect!B:E,4,0),"?",P32)</f>
        <v>自己可丢任意数量手卡，使 目标 受到丢卡数量的伤血且此次事件内无法行动.自己普攻 目标 1次,</v>
      </c>
      <c r="I32" t="s">
        <v>539</v>
      </c>
      <c r="O32" t="s">
        <v>409</v>
      </c>
      <c r="Q32" t="s">
        <v>181</v>
      </c>
      <c r="R32" t="s">
        <v>181</v>
      </c>
      <c r="S32" t="s">
        <v>181</v>
      </c>
    </row>
    <row r="33" spans="1:26" x14ac:dyDescent="0.25">
      <c r="A33" s="3">
        <v>77</v>
      </c>
      <c r="B33" t="s">
        <v>78</v>
      </c>
      <c r="C33" t="s">
        <v>119</v>
      </c>
      <c r="F33" t="str">
        <f>IF(I33="","",SUBSTITUTE(VLOOKUP(I33,event!E:F,2,0),"?",J33))</f>
        <v>自己受到普攻</v>
      </c>
      <c r="G33" t="str">
        <f>IF(M33="","",SUBSTITUTE(VLOOKUP(M33,effect!B:E,4,0),"?",N33))</f>
        <v/>
      </c>
      <c r="H33" t="str">
        <f>SUBSTITUTE(VLOOKUP(O33,effect!B:E,4,0),"?",P33)</f>
        <v>自己抽1卡,自己可普攻 发动普攻者 1次,本次普攻自己攻+1</v>
      </c>
      <c r="I33" t="s">
        <v>218</v>
      </c>
      <c r="O33" t="s">
        <v>452</v>
      </c>
      <c r="Q33" t="s">
        <v>181</v>
      </c>
      <c r="R33" t="s">
        <v>181</v>
      </c>
      <c r="S33" t="s">
        <v>181</v>
      </c>
    </row>
    <row r="34" spans="1:26" x14ac:dyDescent="0.25">
      <c r="A34" s="3">
        <v>30</v>
      </c>
      <c r="B34" t="s">
        <v>133</v>
      </c>
      <c r="C34" t="s">
        <v>122</v>
      </c>
      <c r="F34" t="str">
        <f>IF(I34="","",SUBSTITUTE(VLOOKUP(I34,event!E:F,2,0),"?",J34))</f>
        <v/>
      </c>
      <c r="G34" t="str">
        <f>IF(M34="","",SUBSTITUTE(VLOOKUP(M34,effect!B:E,4,0),"?",N34))</f>
        <v/>
      </c>
      <c r="H34" t="str">
        <f>SUBSTITUTE(VLOOKUP(O34,effect!B:E,4,0),"?",P34)</f>
        <v>使 目标 伤1血，若命中则 目标 此事件内无法行动（目标可丢1卡躲避此效果）</v>
      </c>
      <c r="O34" t="s">
        <v>501</v>
      </c>
      <c r="Q34" t="s">
        <v>181</v>
      </c>
      <c r="R34" t="s">
        <v>181</v>
      </c>
      <c r="S34" t="s">
        <v>181</v>
      </c>
    </row>
    <row r="35" spans="1:26" x14ac:dyDescent="0.25">
      <c r="A35" s="3">
        <v>10300</v>
      </c>
      <c r="B35" t="s">
        <v>116</v>
      </c>
      <c r="C35" t="s">
        <v>502</v>
      </c>
      <c r="F35" t="str">
        <f>IF(I35="","",SUBSTITUTE(VLOOKUP(I35,event!E:F,2,0),"?",J35))</f>
        <v>自己受到伤血效果</v>
      </c>
      <c r="G35" t="str">
        <f>IF(M35="","",SUBSTITUTE(VLOOKUP(M35,effect!B:E,4,0),"?",N35))</f>
        <v/>
      </c>
      <c r="H35" t="str">
        <f>SUBSTITUTE(VLOOKUP(O35,effect!B:E,4,0),"?",P35)</f>
        <v>给自己添加buff</v>
      </c>
      <c r="I35" t="s">
        <v>542</v>
      </c>
      <c r="O35" t="s">
        <v>495</v>
      </c>
      <c r="P35">
        <f>A36</f>
        <v>10301</v>
      </c>
      <c r="Q35" t="s">
        <v>182</v>
      </c>
      <c r="R35" t="s">
        <v>183</v>
      </c>
      <c r="S35" t="s">
        <v>184</v>
      </c>
      <c r="U35" t="s">
        <v>642</v>
      </c>
      <c r="X35" t="s">
        <v>91</v>
      </c>
      <c r="Y35" t="s">
        <v>155</v>
      </c>
    </row>
    <row r="36" spans="1:26" x14ac:dyDescent="0.25">
      <c r="A36" s="3">
        <v>10301</v>
      </c>
      <c r="B36" t="s">
        <v>116</v>
      </c>
      <c r="C36" t="s">
        <v>504</v>
      </c>
      <c r="F36" t="str">
        <f>IF(I36="","",SUBSTITUTE(VLOOKUP(I36,event!E:F,2,0),"?",J36))</f>
        <v/>
      </c>
      <c r="G36" t="str">
        <f>IF(M36="","",SUBSTITUTE(VLOOKUP(M36,effect!B:E,4,0),"?",N36))</f>
        <v/>
      </c>
      <c r="H36" t="str">
        <f>SUBSTITUTE(VLOOKUP(O36,effect!B:E,4,0),"?",P36)</f>
        <v>自己无法行动</v>
      </c>
      <c r="O36" t="s">
        <v>487</v>
      </c>
      <c r="Q36" t="s">
        <v>182</v>
      </c>
      <c r="R36" t="s">
        <v>183</v>
      </c>
      <c r="S36" t="s">
        <v>181</v>
      </c>
      <c r="X36" t="s">
        <v>91</v>
      </c>
      <c r="Y36" t="s">
        <v>118</v>
      </c>
    </row>
    <row r="37" spans="1:26" x14ac:dyDescent="0.25">
      <c r="A37" s="3">
        <v>31</v>
      </c>
      <c r="B37" t="s">
        <v>133</v>
      </c>
      <c r="C37" t="s">
        <v>123</v>
      </c>
      <c r="F37" t="str">
        <f>IF(I37="","",SUBSTITUTE(VLOOKUP(I37,event!E:F,2,0),"?",J37))</f>
        <v/>
      </c>
      <c r="G37" t="str">
        <f>IF(M37="","",SUBSTITUTE(VLOOKUP(M37,effect!B:E,4,0),"?",N37))</f>
        <v/>
      </c>
      <c r="H37" t="str">
        <f>SUBSTITUTE(VLOOKUP(O37,effect!B:E,4,0),"?",P37)</f>
        <v>此次普攻自己攻+1,自己查看 被攻者 所有手卡,并选1张加入自己手卡,若选中装备卡则直接给自己装备上</v>
      </c>
      <c r="O37" t="s">
        <v>439</v>
      </c>
      <c r="Q37" t="s">
        <v>181</v>
      </c>
      <c r="R37" t="s">
        <v>181</v>
      </c>
      <c r="S37" t="s">
        <v>181</v>
      </c>
    </row>
    <row r="38" spans="1:26" x14ac:dyDescent="0.25">
      <c r="A38" s="3">
        <v>10310</v>
      </c>
      <c r="B38" t="s">
        <v>462</v>
      </c>
      <c r="C38" t="s">
        <v>463</v>
      </c>
      <c r="F38" t="str">
        <f>IF(I38="","",SUBSTITUTE(VLOOKUP(I38,event!E:F,2,0),"?",J38))</f>
        <v/>
      </c>
      <c r="G38" t="str">
        <f>IF(M38="","",SUBSTITUTE(VLOOKUP(M38,effect!B:E,4,0),"?",N38))</f>
        <v/>
      </c>
      <c r="H38" t="str">
        <f>SUBSTITUTE(VLOOKUP(O38,effect!B:E,4,0),"?",P38)</f>
        <v>攻+1</v>
      </c>
      <c r="O38" t="s">
        <v>353</v>
      </c>
      <c r="P38">
        <v>1</v>
      </c>
      <c r="Q38" t="s">
        <v>182</v>
      </c>
      <c r="R38" t="s">
        <v>183</v>
      </c>
      <c r="S38" t="s">
        <v>181</v>
      </c>
      <c r="X38" t="s">
        <v>91</v>
      </c>
      <c r="Y38" t="s">
        <v>106</v>
      </c>
    </row>
    <row r="39" spans="1:26" x14ac:dyDescent="0.25">
      <c r="A39" s="3">
        <v>32</v>
      </c>
      <c r="B39" t="s">
        <v>133</v>
      </c>
      <c r="C39" t="s">
        <v>124</v>
      </c>
      <c r="F39" t="str">
        <f>IF(I39="","",SUBSTITUTE(VLOOKUP(I39,event!E:F,2,0),"?",J39))</f>
        <v>自己装备有武器</v>
      </c>
      <c r="G39" t="str">
        <f>IF(M39="","",SUBSTITUTE(VLOOKUP(M39,effect!B:E,4,0),"?",N39))</f>
        <v/>
      </c>
      <c r="H39" t="str">
        <f>SUBSTITUTE(VLOOKUP(O39,effect!B:E,4,0),"?",P39)</f>
        <v>此次普攻自己装备的所有武器无效化,普攻结束后武器重新有效化且对手受到自己当前武器数量×2的伤血</v>
      </c>
      <c r="I39" t="s">
        <v>548</v>
      </c>
      <c r="O39" t="s">
        <v>450</v>
      </c>
      <c r="Q39" t="s">
        <v>181</v>
      </c>
      <c r="R39" t="s">
        <v>181</v>
      </c>
      <c r="S39" t="s">
        <v>181</v>
      </c>
    </row>
    <row r="40" spans="1:26" x14ac:dyDescent="0.25">
      <c r="A40" s="3">
        <v>10320</v>
      </c>
      <c r="B40" t="s">
        <v>94</v>
      </c>
      <c r="C40" t="s">
        <v>135</v>
      </c>
      <c r="F40" t="str">
        <f>IF(I40="","",SUBSTITUTE(VLOOKUP(I40,event!E:F,2,0),"?",J40))</f>
        <v/>
      </c>
      <c r="G40" t="str">
        <f>IF(M40="","",SUBSTITUTE(VLOOKUP(M40,effect!B:E,4,0),"?",N40))</f>
        <v/>
      </c>
      <c r="H40" t="str">
        <f>SUBSTITUTE(VLOOKUP(O40,effect!B:E,4,0),"?",P40)</f>
        <v>自己装备的所有武器无效化</v>
      </c>
      <c r="O40" t="s">
        <v>506</v>
      </c>
      <c r="Q40" t="s">
        <v>182</v>
      </c>
      <c r="R40" t="s">
        <v>183</v>
      </c>
      <c r="S40" t="s">
        <v>181</v>
      </c>
      <c r="X40" t="s">
        <v>91</v>
      </c>
      <c r="Y40" t="s">
        <v>106</v>
      </c>
    </row>
    <row r="41" spans="1:26" x14ac:dyDescent="0.25">
      <c r="A41" s="3">
        <v>10321</v>
      </c>
      <c r="B41" t="s">
        <v>94</v>
      </c>
      <c r="C41" t="s">
        <v>136</v>
      </c>
      <c r="F41" t="str">
        <f>IF(I41="","",SUBSTITUTE(VLOOKUP(I41,event!E:F,2,0),"?",J41))</f>
        <v>此次普攻结束</v>
      </c>
      <c r="G41" t="str">
        <f>IF(M41="","",SUBSTITUTE(VLOOKUP(M41,effect!B:E,4,0),"?",N41))</f>
        <v/>
      </c>
      <c r="H41" t="str">
        <f>SUBSTITUTE(VLOOKUP(O41,effect!B:E,4,0),"?",P41)</f>
        <v>目标 受到自己当前武器数量×2的伤血</v>
      </c>
      <c r="I41" t="s">
        <v>549</v>
      </c>
      <c r="O41" t="s">
        <v>395</v>
      </c>
      <c r="Q41" t="s">
        <v>182</v>
      </c>
      <c r="R41" t="s">
        <v>183</v>
      </c>
      <c r="S41" t="s">
        <v>184</v>
      </c>
      <c r="X41" t="s">
        <v>91</v>
      </c>
      <c r="Y41" t="s">
        <v>106</v>
      </c>
    </row>
    <row r="42" spans="1:26" x14ac:dyDescent="0.25">
      <c r="A42" s="3">
        <v>33</v>
      </c>
      <c r="B42" t="s">
        <v>133</v>
      </c>
      <c r="C42" t="s">
        <v>125</v>
      </c>
      <c r="F42" t="str">
        <f>IF(I42="","",SUBSTITUTE(VLOOKUP(I42,event!E:F,2,0),"?",J42))</f>
        <v>自己装备有武器</v>
      </c>
      <c r="G42" t="str">
        <f>IF(M42="","",SUBSTITUTE(VLOOKUP(M42,effect!B:E,4,0),"?",N42))</f>
        <v/>
      </c>
      <c r="H42" t="str">
        <f>SUBSTITUTE(VLOOKUP(O42,effect!B:E,4,0),"?",P42)</f>
        <v>自己抽1卡,使 目标 伤1血且此事件内无法行动（目标可丢1卡躲避此效果）</v>
      </c>
      <c r="I42" t="s">
        <v>548</v>
      </c>
      <c r="O42" t="s">
        <v>441</v>
      </c>
      <c r="Q42" t="s">
        <v>181</v>
      </c>
      <c r="R42" t="s">
        <v>181</v>
      </c>
      <c r="S42" t="s">
        <v>181</v>
      </c>
    </row>
    <row r="43" spans="1:26" x14ac:dyDescent="0.25">
      <c r="A43" s="3">
        <v>10330</v>
      </c>
      <c r="B43" t="s">
        <v>116</v>
      </c>
      <c r="C43" t="s">
        <v>137</v>
      </c>
      <c r="F43" t="str">
        <f>IF(I43="","",SUBSTITUTE(VLOOKUP(I43,event!E:F,2,0),"?",J43))</f>
        <v>自己受到伤血效果</v>
      </c>
      <c r="G43" t="str">
        <f>IF(M43="","",SUBSTITUTE(VLOOKUP(M43,effect!B:E,4,0),"?",N43))</f>
        <v/>
      </c>
      <c r="H43" t="str">
        <f>SUBSTITUTE(VLOOKUP(O43,effect!B:E,4,0),"?",P43)</f>
        <v>给自己添加buff</v>
      </c>
      <c r="I43" t="s">
        <v>542</v>
      </c>
      <c r="O43" t="s">
        <v>481</v>
      </c>
      <c r="P43">
        <f>A44</f>
        <v>10331</v>
      </c>
      <c r="Q43" t="s">
        <v>182</v>
      </c>
      <c r="R43" t="s">
        <v>183</v>
      </c>
      <c r="S43" t="s">
        <v>184</v>
      </c>
      <c r="U43" t="s">
        <v>642</v>
      </c>
      <c r="X43" t="s">
        <v>91</v>
      </c>
      <c r="Y43" t="s">
        <v>155</v>
      </c>
    </row>
    <row r="44" spans="1:26" x14ac:dyDescent="0.25">
      <c r="A44" s="3">
        <v>10331</v>
      </c>
      <c r="B44" t="s">
        <v>116</v>
      </c>
      <c r="C44" t="s">
        <v>166</v>
      </c>
      <c r="F44" t="str">
        <f>IF(I44="","",SUBSTITUTE(VLOOKUP(I44,event!E:F,2,0),"?",J44))</f>
        <v/>
      </c>
      <c r="G44" t="str">
        <f>IF(M44="","",SUBSTITUTE(VLOOKUP(M44,effect!B:E,4,0),"?",N44))</f>
        <v/>
      </c>
      <c r="H44" t="str">
        <f>SUBSTITUTE(VLOOKUP(O44,effect!B:E,4,0),"?",P44)</f>
        <v>自己无法行动</v>
      </c>
      <c r="O44" t="s">
        <v>487</v>
      </c>
      <c r="Q44" t="s">
        <v>182</v>
      </c>
      <c r="R44" t="s">
        <v>183</v>
      </c>
      <c r="S44" t="s">
        <v>181</v>
      </c>
      <c r="X44" t="s">
        <v>91</v>
      </c>
      <c r="Y44" t="s">
        <v>118</v>
      </c>
    </row>
    <row r="45" spans="1:26" x14ac:dyDescent="0.25">
      <c r="A45" s="3">
        <v>34</v>
      </c>
      <c r="B45" t="s">
        <v>133</v>
      </c>
      <c r="C45" t="s">
        <v>126</v>
      </c>
      <c r="F45" t="str">
        <f>IF(I45="","",SUBSTITUTE(VLOOKUP(I45,event!E:F,2,0),"?",J45))</f>
        <v/>
      </c>
      <c r="G45" t="str">
        <f>IF(M45="","",SUBSTITUTE(VLOOKUP(M45,effect!B:E,4,0),"?",N45))</f>
        <v/>
      </c>
      <c r="H45" t="str">
        <f>SUBSTITUTE(VLOOKUP(O45,effect!B:E,4,0),"?",P45)</f>
        <v>此次普攻自己攻+1,普攻成功后50%使对手接下来的此回合不能行动</v>
      </c>
      <c r="O45" t="s">
        <v>422</v>
      </c>
      <c r="Q45" t="s">
        <v>181</v>
      </c>
      <c r="R45" t="s">
        <v>181</v>
      </c>
      <c r="S45" t="s">
        <v>181</v>
      </c>
    </row>
    <row r="46" spans="1:26" x14ac:dyDescent="0.25">
      <c r="A46" s="3">
        <v>10340</v>
      </c>
      <c r="B46" t="s">
        <v>94</v>
      </c>
      <c r="C46" t="s">
        <v>138</v>
      </c>
      <c r="F46" t="str">
        <f>IF(I46="","",SUBSTITUTE(VLOOKUP(I46,event!E:F,2,0),"?",J46))</f>
        <v/>
      </c>
      <c r="G46" t="str">
        <f>IF(M46="","",SUBSTITUTE(VLOOKUP(M46,effect!B:E,4,0),"?",N46))</f>
        <v/>
      </c>
      <c r="H46" t="str">
        <f>SUBSTITUTE(VLOOKUP(O46,effect!B:E,4,0),"?",P46)</f>
        <v>攻+1</v>
      </c>
      <c r="O46" t="s">
        <v>353</v>
      </c>
      <c r="P46">
        <v>1</v>
      </c>
      <c r="Q46" t="s">
        <v>182</v>
      </c>
      <c r="R46" t="s">
        <v>183</v>
      </c>
      <c r="S46" t="s">
        <v>181</v>
      </c>
      <c r="X46" t="s">
        <v>91</v>
      </c>
      <c r="Y46" t="s">
        <v>106</v>
      </c>
    </row>
    <row r="47" spans="1:26" x14ac:dyDescent="0.25">
      <c r="A47" s="3">
        <v>10341</v>
      </c>
      <c r="B47" t="s">
        <v>94</v>
      </c>
      <c r="C47" t="s">
        <v>203</v>
      </c>
      <c r="F47" t="str">
        <f>IF(I47="","",SUBSTITUTE(VLOOKUP(I47,event!E:F,2,0),"?",J47))</f>
        <v>自己普攻成功</v>
      </c>
      <c r="G47" t="str">
        <f>IF(M47="","",SUBSTITUTE(VLOOKUP(M47,effect!B:E,4,0),"?",N47))</f>
        <v/>
      </c>
      <c r="H47" t="str">
        <f>SUBSTITUTE(VLOOKUP(O47,effect!B:E,4,0),"?",P47)</f>
        <v>给单一对手添加buff(50概率)</v>
      </c>
      <c r="I47" t="s">
        <v>537</v>
      </c>
      <c r="O47" t="s">
        <v>512</v>
      </c>
      <c r="P47">
        <f>A48</f>
        <v>10342</v>
      </c>
      <c r="Q47" t="s">
        <v>182</v>
      </c>
      <c r="R47" t="s">
        <v>183</v>
      </c>
      <c r="S47" t="s">
        <v>184</v>
      </c>
      <c r="X47" t="s">
        <v>91</v>
      </c>
      <c r="Y47" t="s">
        <v>106</v>
      </c>
    </row>
    <row r="48" spans="1:26" x14ac:dyDescent="0.25">
      <c r="A48" s="3">
        <v>10342</v>
      </c>
      <c r="B48" t="s">
        <v>116</v>
      </c>
      <c r="C48" t="s">
        <v>471</v>
      </c>
      <c r="F48" t="str">
        <f>IF(I48="","",SUBSTITUTE(VLOOKUP(I48,event!E:F,2,0),"?",J48))</f>
        <v/>
      </c>
      <c r="G48" t="str">
        <f>IF(M48="","",SUBSTITUTE(VLOOKUP(M48,effect!B:E,4,0),"?",N48))</f>
        <v/>
      </c>
      <c r="H48" t="str">
        <f>SUBSTITUTE(VLOOKUP(O48,effect!B:E,4,0),"?",P48)</f>
        <v>自己无法行动</v>
      </c>
      <c r="O48" t="s">
        <v>487</v>
      </c>
      <c r="Q48" t="s">
        <v>182</v>
      </c>
      <c r="R48" t="s">
        <v>183</v>
      </c>
      <c r="X48" t="s">
        <v>91</v>
      </c>
      <c r="Y48" t="s">
        <v>93</v>
      </c>
      <c r="Z48">
        <v>1</v>
      </c>
    </row>
    <row r="49" spans="1:25" x14ac:dyDescent="0.25">
      <c r="A49" s="3">
        <v>35</v>
      </c>
      <c r="B49" t="s">
        <v>133</v>
      </c>
      <c r="C49" t="s">
        <v>127</v>
      </c>
      <c r="F49" t="str">
        <f>IF(I49="","",SUBSTITUTE(VLOOKUP(I49,event!E:F,2,0),"?",J49))</f>
        <v/>
      </c>
      <c r="G49" t="str">
        <f>IF(M49="","",SUBSTITUTE(VLOOKUP(M49,effect!B:E,4,0),"?",N49))</f>
        <v/>
      </c>
      <c r="H49" t="str">
        <f>SUBSTITUTE(VLOOKUP(O49,effect!B:E,4,0),"?",P49)</f>
        <v>此次普攻自己攻+2,普攻成功后使对手随机丢1手卡</v>
      </c>
      <c r="O49" t="s">
        <v>428</v>
      </c>
      <c r="Q49" t="s">
        <v>181</v>
      </c>
      <c r="R49" t="s">
        <v>181</v>
      </c>
      <c r="S49" t="s">
        <v>181</v>
      </c>
    </row>
    <row r="50" spans="1:25" x14ac:dyDescent="0.25">
      <c r="A50" s="3">
        <v>10350</v>
      </c>
      <c r="B50" t="s">
        <v>94</v>
      </c>
      <c r="C50" t="s">
        <v>141</v>
      </c>
      <c r="F50" t="str">
        <f>IF(I50="","",SUBSTITUTE(VLOOKUP(I50,event!E:F,2,0),"?",J50))</f>
        <v/>
      </c>
      <c r="G50" t="str">
        <f>IF(M50="","",SUBSTITUTE(VLOOKUP(M50,effect!B:E,4,0),"?",N50))</f>
        <v/>
      </c>
      <c r="H50" t="str">
        <f>SUBSTITUTE(VLOOKUP(O50,effect!B:E,4,0),"?",P50)</f>
        <v>攻+2</v>
      </c>
      <c r="O50" t="s">
        <v>353</v>
      </c>
      <c r="P50">
        <v>2</v>
      </c>
      <c r="Q50" t="s">
        <v>182</v>
      </c>
      <c r="R50" t="s">
        <v>183</v>
      </c>
      <c r="S50" t="s">
        <v>181</v>
      </c>
      <c r="X50" t="s">
        <v>91</v>
      </c>
      <c r="Y50" t="s">
        <v>106</v>
      </c>
    </row>
    <row r="51" spans="1:25" x14ac:dyDescent="0.25">
      <c r="A51" s="3">
        <v>10351</v>
      </c>
      <c r="B51" t="s">
        <v>94</v>
      </c>
      <c r="C51" t="s">
        <v>204</v>
      </c>
      <c r="F51" t="str">
        <f>IF(I51="","",SUBSTITUTE(VLOOKUP(I51,event!E:F,2,0),"?",J51))</f>
        <v>自己普攻成功</v>
      </c>
      <c r="G51" t="str">
        <f>IF(M51="","",SUBSTITUTE(VLOOKUP(M51,effect!B:E,4,0),"?",N51))</f>
        <v/>
      </c>
      <c r="H51" t="str">
        <f>SUBSTITUTE(VLOOKUP(O51,effect!B:E,4,0),"?",P51)</f>
        <v>自己使 目标 随机丢1卡</v>
      </c>
      <c r="I51" t="s">
        <v>537</v>
      </c>
      <c r="O51" t="s">
        <v>686</v>
      </c>
      <c r="P51">
        <v>1</v>
      </c>
      <c r="Q51" t="s">
        <v>182</v>
      </c>
      <c r="R51" t="s">
        <v>183</v>
      </c>
      <c r="S51" t="s">
        <v>184</v>
      </c>
      <c r="X51" t="s">
        <v>91</v>
      </c>
      <c r="Y51" t="s">
        <v>106</v>
      </c>
    </row>
    <row r="52" spans="1:25" x14ac:dyDescent="0.25">
      <c r="A52" s="3">
        <v>36</v>
      </c>
      <c r="B52" t="s">
        <v>133</v>
      </c>
      <c r="C52" t="s">
        <v>128</v>
      </c>
      <c r="F52" t="str">
        <f>IF(I52="","",SUBSTITUTE(VLOOKUP(I52,event!E:F,2,0),"?",J52))</f>
        <v/>
      </c>
      <c r="G52" t="str">
        <f>IF(M52="","",SUBSTITUTE(VLOOKUP(M52,effect!B:E,4,0),"?",N52))</f>
        <v/>
      </c>
      <c r="H52" t="str">
        <f>SUBSTITUTE(VLOOKUP(O52,effect!B:E,4,0),"?",P52)</f>
        <v>此次普攻自己攻+1,普攻成功后使对手伤1血</v>
      </c>
      <c r="O52" t="s">
        <v>433</v>
      </c>
      <c r="Q52" t="s">
        <v>181</v>
      </c>
      <c r="R52" t="s">
        <v>181</v>
      </c>
      <c r="S52" t="s">
        <v>181</v>
      </c>
    </row>
    <row r="53" spans="1:25" x14ac:dyDescent="0.25">
      <c r="A53" s="3">
        <v>10360</v>
      </c>
      <c r="B53" t="s">
        <v>94</v>
      </c>
      <c r="C53" t="s">
        <v>143</v>
      </c>
      <c r="F53" t="str">
        <f>IF(I53="","",SUBSTITUTE(VLOOKUP(I53,event!E:F,2,0),"?",J53))</f>
        <v/>
      </c>
      <c r="G53" t="str">
        <f>IF(M53="","",SUBSTITUTE(VLOOKUP(M53,effect!B:E,4,0),"?",N53))</f>
        <v/>
      </c>
      <c r="H53" t="str">
        <f>SUBSTITUTE(VLOOKUP(O53,effect!B:E,4,0),"?",P53)</f>
        <v>攻+1</v>
      </c>
      <c r="O53" t="s">
        <v>353</v>
      </c>
      <c r="P53">
        <v>1</v>
      </c>
      <c r="Q53" t="s">
        <v>182</v>
      </c>
      <c r="R53" t="s">
        <v>183</v>
      </c>
      <c r="S53" t="s">
        <v>181</v>
      </c>
      <c r="X53" t="s">
        <v>91</v>
      </c>
      <c r="Y53" t="s">
        <v>106</v>
      </c>
    </row>
    <row r="54" spans="1:25" x14ac:dyDescent="0.25">
      <c r="A54" s="3">
        <v>10361</v>
      </c>
      <c r="B54" t="s">
        <v>94</v>
      </c>
      <c r="C54" t="s">
        <v>205</v>
      </c>
      <c r="F54" t="str">
        <f>IF(I54="","",SUBSTITUTE(VLOOKUP(I54,event!E:F,2,0),"?",J54))</f>
        <v>自己普攻成功</v>
      </c>
      <c r="G54" t="str">
        <f>IF(M54="","",SUBSTITUTE(VLOOKUP(M54,effect!B:E,4,0),"?",N54))</f>
        <v/>
      </c>
      <c r="H54" t="str">
        <f>SUBSTITUTE(VLOOKUP(O54,effect!B:E,4,0),"?",P54)</f>
        <v>自己使 目标 伤1血</v>
      </c>
      <c r="I54" t="s">
        <v>537</v>
      </c>
      <c r="O54" t="s">
        <v>380</v>
      </c>
      <c r="P54">
        <v>1</v>
      </c>
      <c r="Q54" t="s">
        <v>182</v>
      </c>
      <c r="R54" t="s">
        <v>183</v>
      </c>
      <c r="S54" t="s">
        <v>184</v>
      </c>
      <c r="X54" t="s">
        <v>91</v>
      </c>
      <c r="Y54" t="s">
        <v>106</v>
      </c>
    </row>
    <row r="55" spans="1:25" x14ac:dyDescent="0.25">
      <c r="A55" s="3">
        <v>37</v>
      </c>
      <c r="B55" t="s">
        <v>133</v>
      </c>
      <c r="C55" t="s">
        <v>129</v>
      </c>
      <c r="F55" t="str">
        <f>IF(I55="","",SUBSTITUTE(VLOOKUP(I55,event!E:F,2,0),"?",J55))</f>
        <v/>
      </c>
      <c r="G55" t="str">
        <f>IF(M55="","",SUBSTITUTE(VLOOKUP(M55,effect!B:E,4,0),"?",N55))</f>
        <v/>
      </c>
      <c r="H55" t="str">
        <f>SUBSTITUTE(VLOOKUP(O55,effect!B:E,4,0),"?",P55)</f>
        <v>此次普攻自己攻+1,普攻成功后使被对手随机刷新2手卡</v>
      </c>
      <c r="O55" t="s">
        <v>423</v>
      </c>
      <c r="Q55" t="s">
        <v>181</v>
      </c>
      <c r="R55" t="s">
        <v>181</v>
      </c>
      <c r="S55" t="s">
        <v>181</v>
      </c>
    </row>
    <row r="56" spans="1:25" x14ac:dyDescent="0.25">
      <c r="A56" s="3">
        <v>10370</v>
      </c>
      <c r="B56" t="s">
        <v>94</v>
      </c>
      <c r="C56" t="s">
        <v>144</v>
      </c>
      <c r="F56" t="str">
        <f>IF(I56="","",SUBSTITUTE(VLOOKUP(I56,event!E:F,2,0),"?",J56))</f>
        <v/>
      </c>
      <c r="G56" t="str">
        <f>IF(M56="","",SUBSTITUTE(VLOOKUP(M56,effect!B:E,4,0),"?",N56))</f>
        <v/>
      </c>
      <c r="H56" t="str">
        <f>SUBSTITUTE(VLOOKUP(O56,effect!B:E,4,0),"?",P56)</f>
        <v>攻+1</v>
      </c>
      <c r="O56" t="s">
        <v>353</v>
      </c>
      <c r="P56">
        <v>1</v>
      </c>
      <c r="Q56" t="s">
        <v>182</v>
      </c>
      <c r="R56" t="s">
        <v>183</v>
      </c>
      <c r="S56" t="s">
        <v>181</v>
      </c>
      <c r="X56" t="s">
        <v>91</v>
      </c>
      <c r="Y56" t="s">
        <v>106</v>
      </c>
    </row>
    <row r="57" spans="1:25" x14ac:dyDescent="0.25">
      <c r="A57" s="3">
        <v>10371</v>
      </c>
      <c r="B57" t="s">
        <v>94</v>
      </c>
      <c r="C57" t="s">
        <v>206</v>
      </c>
      <c r="F57" t="str">
        <f>IF(I57="","",SUBSTITUTE(VLOOKUP(I57,event!E:F,2,0),"?",J57))</f>
        <v>自己普攻成功</v>
      </c>
      <c r="G57" t="str">
        <f>IF(M57="","",SUBSTITUTE(VLOOKUP(M57,effect!B:E,4,0),"?",N57))</f>
        <v/>
      </c>
      <c r="H57" t="str">
        <f>SUBSTITUTE(VLOOKUP(O57,effect!B:E,4,0),"?",P57)</f>
        <v>自己使 目标 随机刷新2卡</v>
      </c>
      <c r="I57" t="s">
        <v>537</v>
      </c>
      <c r="O57" t="s">
        <v>397</v>
      </c>
      <c r="P57">
        <v>2</v>
      </c>
      <c r="Q57" t="s">
        <v>182</v>
      </c>
      <c r="R57" t="s">
        <v>183</v>
      </c>
      <c r="S57" t="s">
        <v>184</v>
      </c>
      <c r="X57" t="s">
        <v>91</v>
      </c>
      <c r="Y57" t="s">
        <v>106</v>
      </c>
    </row>
    <row r="58" spans="1:25" x14ac:dyDescent="0.25">
      <c r="A58" s="3">
        <v>38</v>
      </c>
      <c r="B58" t="s">
        <v>133</v>
      </c>
      <c r="C58" t="s">
        <v>130</v>
      </c>
      <c r="F58" t="str">
        <f>IF(I58="","",SUBSTITUTE(VLOOKUP(I58,event!E:F,2,0),"?",J58))</f>
        <v/>
      </c>
      <c r="G58" t="str">
        <f>IF(M58="","",SUBSTITUTE(VLOOKUP(M58,effect!B:E,4,0),"?",N58))</f>
        <v/>
      </c>
      <c r="H58" t="str">
        <f>SUBSTITUTE(VLOOKUP(O58,effect!B:E,4,0),"?",P58)</f>
        <v>此次普攻自己攻+1,自己普攻成功时自己抽1卡</v>
      </c>
      <c r="O58" t="s">
        <v>435</v>
      </c>
      <c r="Q58" t="s">
        <v>181</v>
      </c>
      <c r="R58" t="s">
        <v>181</v>
      </c>
      <c r="S58" t="s">
        <v>181</v>
      </c>
    </row>
    <row r="59" spans="1:25" x14ac:dyDescent="0.25">
      <c r="A59" s="3">
        <v>10380</v>
      </c>
      <c r="B59" t="s">
        <v>94</v>
      </c>
      <c r="C59" t="s">
        <v>148</v>
      </c>
      <c r="F59" t="str">
        <f>IF(I59="","",SUBSTITUTE(VLOOKUP(I59,event!E:F,2,0),"?",J59))</f>
        <v/>
      </c>
      <c r="G59" t="str">
        <f>IF(M59="","",SUBSTITUTE(VLOOKUP(M59,effect!B:E,4,0),"?",N59))</f>
        <v/>
      </c>
      <c r="H59" t="str">
        <f>SUBSTITUTE(VLOOKUP(O59,effect!B:E,4,0),"?",P59)</f>
        <v>攻+1</v>
      </c>
      <c r="O59" t="s">
        <v>353</v>
      </c>
      <c r="P59">
        <v>1</v>
      </c>
      <c r="Q59" t="s">
        <v>182</v>
      </c>
      <c r="R59" t="s">
        <v>183</v>
      </c>
      <c r="S59" t="s">
        <v>181</v>
      </c>
      <c r="X59" t="s">
        <v>91</v>
      </c>
      <c r="Y59" t="s">
        <v>106</v>
      </c>
    </row>
    <row r="60" spans="1:25" x14ac:dyDescent="0.25">
      <c r="A60" s="3">
        <v>10381</v>
      </c>
      <c r="B60" t="s">
        <v>94</v>
      </c>
      <c r="C60" t="s">
        <v>207</v>
      </c>
      <c r="F60" t="str">
        <f>IF(I60="","",SUBSTITUTE(VLOOKUP(I60,event!E:F,2,0),"?",J60))</f>
        <v>自己普攻成功</v>
      </c>
      <c r="G60" t="str">
        <f>IF(M60="","",SUBSTITUTE(VLOOKUP(M60,effect!B:E,4,0),"?",N60))</f>
        <v/>
      </c>
      <c r="H60" t="str">
        <f>SUBSTITUTE(VLOOKUP(O60,effect!B:E,4,0),"?",P60)</f>
        <v>自己抽1卡</v>
      </c>
      <c r="I60" t="s">
        <v>537</v>
      </c>
      <c r="O60" t="s">
        <v>369</v>
      </c>
      <c r="P60">
        <v>1</v>
      </c>
      <c r="Q60" t="s">
        <v>182</v>
      </c>
      <c r="R60" t="s">
        <v>183</v>
      </c>
      <c r="S60" t="s">
        <v>184</v>
      </c>
      <c r="X60" t="s">
        <v>91</v>
      </c>
      <c r="Y60" t="s">
        <v>106</v>
      </c>
    </row>
    <row r="61" spans="1:25" x14ac:dyDescent="0.25">
      <c r="A61" s="3">
        <v>39</v>
      </c>
      <c r="B61" t="s">
        <v>133</v>
      </c>
      <c r="C61" t="s">
        <v>131</v>
      </c>
      <c r="F61" t="str">
        <f>IF(I61="","",SUBSTITUTE(VLOOKUP(I61,event!E:F,2,0),"?",J61))</f>
        <v/>
      </c>
      <c r="G61" t="str">
        <f>IF(M61="","",SUBSTITUTE(VLOOKUP(M61,effect!B:E,4,0),"?",N61))</f>
        <v/>
      </c>
      <c r="H61" t="str">
        <f>SUBSTITUTE(VLOOKUP(O61,effect!B:E,4,0),"?",P61)</f>
        <v>此次普攻自己攻+2,普攻成功后30%使被普攻者装备的武器全部破坏</v>
      </c>
      <c r="O61" t="s">
        <v>437</v>
      </c>
      <c r="Q61" t="s">
        <v>181</v>
      </c>
      <c r="R61" t="s">
        <v>181</v>
      </c>
      <c r="S61" t="s">
        <v>181</v>
      </c>
    </row>
    <row r="62" spans="1:25" x14ac:dyDescent="0.25">
      <c r="A62" s="3">
        <v>10390</v>
      </c>
      <c r="B62" t="s">
        <v>94</v>
      </c>
      <c r="C62" t="s">
        <v>150</v>
      </c>
      <c r="F62" t="str">
        <f>IF(I62="","",SUBSTITUTE(VLOOKUP(I62,event!E:F,2,0),"?",J62))</f>
        <v/>
      </c>
      <c r="G62" t="str">
        <f>IF(M62="","",SUBSTITUTE(VLOOKUP(M62,effect!B:E,4,0),"?",N62))</f>
        <v/>
      </c>
      <c r="H62" t="str">
        <f>SUBSTITUTE(VLOOKUP(O62,effect!B:E,4,0),"?",P62)</f>
        <v>攻+1</v>
      </c>
      <c r="O62" t="s">
        <v>353</v>
      </c>
      <c r="P62">
        <v>1</v>
      </c>
      <c r="Q62" t="s">
        <v>182</v>
      </c>
      <c r="R62" t="s">
        <v>183</v>
      </c>
      <c r="S62" t="s">
        <v>181</v>
      </c>
      <c r="X62" t="s">
        <v>91</v>
      </c>
      <c r="Y62" t="s">
        <v>106</v>
      </c>
    </row>
    <row r="63" spans="1:25" x14ac:dyDescent="0.25">
      <c r="A63" s="3">
        <v>10391</v>
      </c>
      <c r="B63" t="s">
        <v>94</v>
      </c>
      <c r="C63" t="s">
        <v>208</v>
      </c>
      <c r="F63" t="str">
        <f>IF(I63="","",SUBSTITUTE(VLOOKUP(I63,event!E:F,2,0),"?",J63))</f>
        <v>自己普攻成功</v>
      </c>
      <c r="G63" t="str">
        <f>IF(M63="","",SUBSTITUTE(VLOOKUP(M63,effect!B:E,4,0),"?",N63))</f>
        <v/>
      </c>
      <c r="H63" t="str">
        <f>SUBSTITUTE(VLOOKUP(O63,effect!B:E,4,0),"?",P63)</f>
        <v>30%使 目标 装备的武器全部破坏</v>
      </c>
      <c r="I63" t="s">
        <v>537</v>
      </c>
      <c r="O63" t="s">
        <v>399</v>
      </c>
      <c r="P63">
        <v>30</v>
      </c>
      <c r="Q63" t="s">
        <v>182</v>
      </c>
      <c r="R63" t="s">
        <v>183</v>
      </c>
      <c r="S63" t="s">
        <v>184</v>
      </c>
      <c r="X63" t="s">
        <v>91</v>
      </c>
      <c r="Y63" t="s">
        <v>106</v>
      </c>
    </row>
    <row r="64" spans="1:25" x14ac:dyDescent="0.25">
      <c r="A64" s="3">
        <v>40</v>
      </c>
      <c r="B64" t="s">
        <v>133</v>
      </c>
      <c r="C64" t="s">
        <v>132</v>
      </c>
      <c r="F64" t="str">
        <f>IF(I64="","",SUBSTITUTE(VLOOKUP(I64,event!E:F,2,0),"?",J64))</f>
        <v/>
      </c>
      <c r="G64" t="str">
        <f>IF(M64="","",SUBSTITUTE(VLOOKUP(M64,effect!B:E,4,0),"?",N64))</f>
        <v/>
      </c>
      <c r="H64" t="str">
        <f>SUBSTITUTE(VLOOKUP(O64,effect!B:E,4,0),"?",P64)</f>
        <v>此次普攻无法被躲避、格挡，自己总攻击力减半且变为穿攻</v>
      </c>
      <c r="O64" t="s">
        <v>418</v>
      </c>
      <c r="Q64" t="s">
        <v>181</v>
      </c>
      <c r="R64" t="s">
        <v>181</v>
      </c>
      <c r="S64" t="s">
        <v>181</v>
      </c>
    </row>
    <row r="65" spans="1:26" x14ac:dyDescent="0.25">
      <c r="A65" s="3">
        <v>10400</v>
      </c>
      <c r="B65" t="s">
        <v>94</v>
      </c>
      <c r="C65" t="s">
        <v>151</v>
      </c>
      <c r="F65" t="str">
        <f>IF(I65="","",SUBSTITUTE(VLOOKUP(I65,event!E:F,2,0),"?",J65))</f>
        <v/>
      </c>
      <c r="G65" t="str">
        <f>IF(M65="","",SUBSTITUTE(VLOOKUP(M65,effect!B:E,4,0),"?",N65))</f>
        <v/>
      </c>
      <c r="H65" t="str">
        <f>SUBSTITUTE(VLOOKUP(O65,effect!B:E,4,0),"?",P65)</f>
        <v>此次普攻无法被躲避、格挡</v>
      </c>
      <c r="O65" t="s">
        <v>416</v>
      </c>
      <c r="Q65" t="s">
        <v>182</v>
      </c>
      <c r="R65" t="s">
        <v>183</v>
      </c>
      <c r="S65" t="s">
        <v>181</v>
      </c>
      <c r="X65" t="s">
        <v>91</v>
      </c>
      <c r="Y65" t="s">
        <v>106</v>
      </c>
    </row>
    <row r="66" spans="1:26" x14ac:dyDescent="0.25">
      <c r="A66" s="3">
        <v>10401</v>
      </c>
      <c r="B66" t="s">
        <v>94</v>
      </c>
      <c r="C66" t="s">
        <v>152</v>
      </c>
      <c r="F66" t="str">
        <f>IF(I66="","",SUBSTITUTE(VLOOKUP(I66,event!E:F,2,0),"?",J66))</f>
        <v/>
      </c>
      <c r="G66" t="str">
        <f>IF(M66="","",SUBSTITUTE(VLOOKUP(M66,effect!B:E,4,0),"?",N66))</f>
        <v/>
      </c>
      <c r="H66" t="str">
        <f>SUBSTITUTE(VLOOKUP(O66,effect!B:E,4,0),"?",P66)</f>
        <v>自己总攻击力变为原本的0.5倍</v>
      </c>
      <c r="O66" t="s">
        <v>592</v>
      </c>
      <c r="P66">
        <v>0.5</v>
      </c>
      <c r="Q66" t="s">
        <v>182</v>
      </c>
      <c r="R66" t="s">
        <v>183</v>
      </c>
      <c r="S66" t="s">
        <v>181</v>
      </c>
      <c r="X66" t="s">
        <v>91</v>
      </c>
      <c r="Y66" t="s">
        <v>106</v>
      </c>
    </row>
    <row r="67" spans="1:26" x14ac:dyDescent="0.25">
      <c r="A67" s="3">
        <v>10402</v>
      </c>
      <c r="B67" t="s">
        <v>94</v>
      </c>
      <c r="C67" t="s">
        <v>154</v>
      </c>
      <c r="F67" t="str">
        <f>IF(I67="","",SUBSTITUTE(VLOOKUP(I67,event!E:F,2,0),"?",J67))</f>
        <v/>
      </c>
      <c r="G67" t="str">
        <f>IF(M67="","",SUBSTITUTE(VLOOKUP(M67,effect!B:E,4,0),"?",N67))</f>
        <v/>
      </c>
      <c r="H67" t="str">
        <f>SUBSTITUTE(VLOOKUP(O67,effect!B:E,4,0),"?",P67)</f>
        <v>自己普攻变为穿攻</v>
      </c>
      <c r="O67" t="s">
        <v>518</v>
      </c>
      <c r="Q67" t="s">
        <v>182</v>
      </c>
      <c r="R67" t="s">
        <v>183</v>
      </c>
      <c r="S67" t="s">
        <v>181</v>
      </c>
      <c r="X67" t="s">
        <v>91</v>
      </c>
      <c r="Y67" t="s">
        <v>106</v>
      </c>
    </row>
    <row r="68" spans="1:26" x14ac:dyDescent="0.25">
      <c r="A68" s="3">
        <v>10700</v>
      </c>
      <c r="B68" t="s">
        <v>94</v>
      </c>
      <c r="C68" t="s">
        <v>121</v>
      </c>
      <c r="F68" t="str">
        <f>IF(I68="","",SUBSTITUTE(VLOOKUP(I68,event!E:F,2,0),"?",J68))</f>
        <v/>
      </c>
      <c r="G68" t="str">
        <f>IF(M68="","",SUBSTITUTE(VLOOKUP(M68,effect!B:E,4,0),"?",N68))</f>
        <v/>
      </c>
      <c r="H68" t="str">
        <f>SUBSTITUTE(VLOOKUP(O68,effect!B:E,4,0),"?",P68)</f>
        <v>攻+2</v>
      </c>
      <c r="O68" t="s">
        <v>353</v>
      </c>
      <c r="P68">
        <v>2</v>
      </c>
      <c r="Q68" t="s">
        <v>182</v>
      </c>
      <c r="R68" t="s">
        <v>183</v>
      </c>
      <c r="S68" t="s">
        <v>181</v>
      </c>
      <c r="X68" t="s">
        <v>91</v>
      </c>
      <c r="Y68" t="s">
        <v>93</v>
      </c>
      <c r="Z68">
        <v>1</v>
      </c>
    </row>
    <row r="69" spans="1:26" x14ac:dyDescent="0.25">
      <c r="A69" s="3" t="s">
        <v>691</v>
      </c>
      <c r="B69" t="s">
        <v>94</v>
      </c>
      <c r="C69" t="s">
        <v>88</v>
      </c>
      <c r="F69" t="str">
        <f>IF(I69="","",SUBSTITUTE(VLOOKUP(I69,event!E:F,2,0),"?",J69))</f>
        <v/>
      </c>
      <c r="G69" t="str">
        <f>IF(M69="","",SUBSTITUTE(VLOOKUP(M69,effect!B:E,4,0),"?",N69))</f>
        <v/>
      </c>
      <c r="H69" t="str">
        <f>SUBSTITUTE(VLOOKUP(O69,effect!B:E,4,0),"?",P69)</f>
        <v>自己总攻击力变为原本的2倍</v>
      </c>
      <c r="O69" t="s">
        <v>592</v>
      </c>
      <c r="P69">
        <v>2</v>
      </c>
      <c r="Q69" t="s">
        <v>182</v>
      </c>
      <c r="R69" t="s">
        <v>183</v>
      </c>
      <c r="S69" t="s">
        <v>181</v>
      </c>
      <c r="X69" t="s">
        <v>91</v>
      </c>
      <c r="Y69" t="s">
        <v>93</v>
      </c>
      <c r="Z69">
        <v>1</v>
      </c>
    </row>
    <row r="70" spans="1:26" x14ac:dyDescent="0.25">
      <c r="A70" s="3">
        <v>10670</v>
      </c>
      <c r="B70" t="s">
        <v>94</v>
      </c>
      <c r="C70" t="s">
        <v>97</v>
      </c>
      <c r="F70" t="str">
        <f>IF(I70="","",SUBSTITUTE(VLOOKUP(I70,event!E:F,2,0),"?",J70))</f>
        <v>自己受到致命伤血</v>
      </c>
      <c r="G70" t="str">
        <f>IF(M70="","",SUBSTITUTE(VLOOKUP(M70,effect!B:E,4,0),"?",N70))</f>
        <v/>
      </c>
      <c r="H70" t="str">
        <f>SUBSTITUTE(VLOOKUP(O70,effect!B:E,4,0),"?",P70)</f>
        <v>自己使 目标 伤0血</v>
      </c>
      <c r="I70" t="s">
        <v>545</v>
      </c>
      <c r="O70" t="s">
        <v>380</v>
      </c>
      <c r="P70">
        <v>0</v>
      </c>
      <c r="Q70" t="s">
        <v>182</v>
      </c>
      <c r="R70" t="s">
        <v>183</v>
      </c>
      <c r="S70" t="s">
        <v>184</v>
      </c>
      <c r="X70" t="s">
        <v>98</v>
      </c>
      <c r="Y70" t="s">
        <v>93</v>
      </c>
    </row>
    <row r="71" spans="1:26" x14ac:dyDescent="0.25">
      <c r="A71" s="3">
        <v>10710</v>
      </c>
      <c r="B71" t="s">
        <v>94</v>
      </c>
      <c r="C71" t="s">
        <v>105</v>
      </c>
      <c r="F71" t="str">
        <f>IF(I71="","",SUBSTITUTE(VLOOKUP(I71,event!E:F,2,0),"?",J71))</f>
        <v/>
      </c>
      <c r="G71" t="str">
        <f>IF(M71="","",SUBSTITUTE(VLOOKUP(M71,effect!B:E,4,0),"?",N71))</f>
        <v/>
      </c>
      <c r="H71" t="str">
        <f>SUBSTITUTE(VLOOKUP(O71,effect!B:E,4,0),"?",P71)</f>
        <v>自己造成的普攻伤血变为原本的2倍</v>
      </c>
      <c r="O71" t="s">
        <v>594</v>
      </c>
      <c r="P71">
        <v>2</v>
      </c>
      <c r="Q71" t="s">
        <v>182</v>
      </c>
      <c r="R71" t="s">
        <v>183</v>
      </c>
      <c r="S71" t="s">
        <v>181</v>
      </c>
      <c r="X71" t="s">
        <v>91</v>
      </c>
      <c r="Y71" t="s">
        <v>106</v>
      </c>
    </row>
    <row r="72" spans="1:26" x14ac:dyDescent="0.25">
      <c r="A72" s="3">
        <v>10750</v>
      </c>
      <c r="B72" t="s">
        <v>94</v>
      </c>
      <c r="C72" t="s">
        <v>112</v>
      </c>
      <c r="F72" t="str">
        <f>IF(I72="","",SUBSTITUTE(VLOOKUP(I72,event!E:F,2,0),"?",J72))</f>
        <v>自己即将受到普攻</v>
      </c>
      <c r="G72" t="str">
        <f>IF(M72="","",SUBSTITUTE(VLOOKUP(M72,effect!B:E,4,0),"?",N72))</f>
        <v>自己丢1手卡</v>
      </c>
      <c r="H72" t="str">
        <f>SUBSTITUTE(VLOOKUP(O72,effect!B:E,4,0),"?",P72)</f>
        <v>自己格挡此次普攻</v>
      </c>
      <c r="I72" t="s">
        <v>217</v>
      </c>
      <c r="M72" t="s">
        <v>561</v>
      </c>
      <c r="N72">
        <v>1</v>
      </c>
      <c r="O72" t="s">
        <v>491</v>
      </c>
      <c r="Q72" t="s">
        <v>182</v>
      </c>
      <c r="R72" t="s">
        <v>653</v>
      </c>
      <c r="X72" t="s">
        <v>98</v>
      </c>
      <c r="Y72" t="s">
        <v>93</v>
      </c>
    </row>
    <row r="73" spans="1:26" x14ac:dyDescent="0.25">
      <c r="A73" s="3">
        <v>10751</v>
      </c>
      <c r="B73" t="s">
        <v>94</v>
      </c>
      <c r="C73" t="s">
        <v>113</v>
      </c>
      <c r="F73" t="str">
        <f>IF(I73="","",SUBSTITUTE(VLOOKUP(I73,event!E:F,2,0),"?",J73))</f>
        <v>自己即将受到非自主效果伤血</v>
      </c>
      <c r="G73" t="str">
        <f>IF(M73="","",SUBSTITUTE(VLOOKUP(M73,effect!B:E,4,0),"?",N73))</f>
        <v>自己丢1手卡</v>
      </c>
      <c r="H73" t="str">
        <f>SUBSTITUTE(VLOOKUP(O73,effect!B:E,4,0),"?",P73)</f>
        <v>自己不受此次伤血影响</v>
      </c>
      <c r="I73" t="s">
        <v>550</v>
      </c>
      <c r="M73" t="s">
        <v>561</v>
      </c>
      <c r="N73">
        <v>1</v>
      </c>
      <c r="O73" t="s">
        <v>490</v>
      </c>
      <c r="Q73" t="s">
        <v>182</v>
      </c>
      <c r="R73" t="s">
        <v>653</v>
      </c>
      <c r="X73" t="s">
        <v>98</v>
      </c>
      <c r="Y73" t="s">
        <v>93</v>
      </c>
    </row>
    <row r="74" spans="1:26" x14ac:dyDescent="0.25">
      <c r="A74" s="3">
        <v>10760</v>
      </c>
      <c r="B74" t="s">
        <v>116</v>
      </c>
      <c r="C74" t="s">
        <v>115</v>
      </c>
      <c r="F74" t="str">
        <f>IF(I74="","",SUBSTITUTE(VLOOKUP(I74,event!E:F,2,0),"?",J74))</f>
        <v/>
      </c>
      <c r="G74" t="str">
        <f>IF(M74="","",SUBSTITUTE(VLOOKUP(M74,effect!B:E,4,0),"?",N74))</f>
        <v/>
      </c>
      <c r="H74" t="str">
        <f>SUBSTITUTE(VLOOKUP(O74,effect!B:E,4,0),"?",P74)</f>
        <v>自己无法行动</v>
      </c>
      <c r="O74" t="s">
        <v>487</v>
      </c>
      <c r="Q74" t="s">
        <v>182</v>
      </c>
      <c r="R74" t="s">
        <v>183</v>
      </c>
      <c r="S74" t="s">
        <v>181</v>
      </c>
      <c r="X74" t="s">
        <v>98</v>
      </c>
      <c r="Y74" t="s">
        <v>118</v>
      </c>
    </row>
    <row r="75" spans="1:26" x14ac:dyDescent="0.25">
      <c r="A75" s="3">
        <v>10770</v>
      </c>
      <c r="B75" t="s">
        <v>94</v>
      </c>
      <c r="C75" t="s">
        <v>120</v>
      </c>
      <c r="F75" t="str">
        <f>IF(I75="","",SUBSTITUTE(VLOOKUP(I75,event!E:F,2,0),"?",J75))</f>
        <v/>
      </c>
      <c r="G75" t="str">
        <f>IF(M75="","",SUBSTITUTE(VLOOKUP(M75,effect!B:E,4,0),"?",N75))</f>
        <v/>
      </c>
      <c r="H75" t="str">
        <f>SUBSTITUTE(VLOOKUP(O75,effect!B:E,4,0),"?",P75)</f>
        <v>攻+1</v>
      </c>
      <c r="O75" t="s">
        <v>353</v>
      </c>
      <c r="P75">
        <v>1</v>
      </c>
      <c r="Q75" t="s">
        <v>182</v>
      </c>
      <c r="R75" t="s">
        <v>183</v>
      </c>
      <c r="S75" t="s">
        <v>181</v>
      </c>
      <c r="X75" t="s">
        <v>91</v>
      </c>
      <c r="Y75" t="s">
        <v>106</v>
      </c>
    </row>
    <row r="76" spans="1:26" x14ac:dyDescent="0.25">
      <c r="A76" s="3">
        <v>0</v>
      </c>
      <c r="B76" t="s">
        <v>9</v>
      </c>
      <c r="C76" t="s">
        <v>8</v>
      </c>
      <c r="F76" t="str">
        <f>IF(I76="","",SUBSTITUTE(VLOOKUP(I76,event!E:F,2,0),"?",J76))</f>
        <v>自己回合自己未处于搏斗且自己武器槽未满</v>
      </c>
      <c r="G76" t="str">
        <f>IF(M76="","",SUBSTITUTE(VLOOKUP(M76,effect!B:E,4,0),"?",N76))</f>
        <v/>
      </c>
      <c r="H76" t="str">
        <f>SUBSTITUTE(VLOOKUP(O76,effect!B:E,4,0),"?",P76)</f>
        <v>装备上武器</v>
      </c>
      <c r="I76" t="s">
        <v>308</v>
      </c>
      <c r="O76" t="s">
        <v>489</v>
      </c>
      <c r="P76">
        <v>0</v>
      </c>
      <c r="Q76" t="s">
        <v>181</v>
      </c>
      <c r="R76" t="s">
        <v>181</v>
      </c>
      <c r="S76" t="s">
        <v>181</v>
      </c>
    </row>
    <row r="77" spans="1:26" x14ac:dyDescent="0.25">
      <c r="A77" s="3">
        <v>1</v>
      </c>
      <c r="B77" t="s">
        <v>9</v>
      </c>
      <c r="C77" t="s">
        <v>18</v>
      </c>
      <c r="F77" t="str">
        <f>IF(I77="","",SUBSTITUTE(VLOOKUP(I77,event!E:F,2,0),"?",J77))</f>
        <v>自己回合自己未处于搏斗且自己武器槽未满</v>
      </c>
      <c r="G77" t="str">
        <f>IF(M77="","",SUBSTITUTE(VLOOKUP(M77,effect!B:E,4,0),"?",N77))</f>
        <v/>
      </c>
      <c r="H77" t="str">
        <f>SUBSTITUTE(VLOOKUP(O77,effect!B:E,4,0),"?",P77)</f>
        <v>装备上武器</v>
      </c>
      <c r="I77" t="s">
        <v>308</v>
      </c>
      <c r="O77" t="s">
        <v>489</v>
      </c>
      <c r="P77">
        <v>1</v>
      </c>
      <c r="Q77" t="s">
        <v>181</v>
      </c>
      <c r="R77" t="s">
        <v>181</v>
      </c>
      <c r="S77" t="s">
        <v>181</v>
      </c>
    </row>
    <row r="78" spans="1:26" x14ac:dyDescent="0.25">
      <c r="A78" s="3">
        <v>2</v>
      </c>
      <c r="B78" t="s">
        <v>9</v>
      </c>
      <c r="C78" t="s">
        <v>19</v>
      </c>
      <c r="F78" t="str">
        <f>IF(I78="","",SUBSTITUTE(VLOOKUP(I78,event!E:F,2,0),"?",J78))</f>
        <v>自己回合自己未处于搏斗且自己武器槽未满</v>
      </c>
      <c r="G78" t="str">
        <f>IF(M78="","",SUBSTITUTE(VLOOKUP(M78,effect!B:E,4,0),"?",N78))</f>
        <v/>
      </c>
      <c r="H78" t="str">
        <f>SUBSTITUTE(VLOOKUP(O78,effect!B:E,4,0),"?",P78)</f>
        <v>装备上武器</v>
      </c>
      <c r="I78" t="s">
        <v>308</v>
      </c>
      <c r="O78" t="s">
        <v>489</v>
      </c>
      <c r="P78">
        <v>2</v>
      </c>
      <c r="Q78" t="s">
        <v>181</v>
      </c>
      <c r="R78" t="s">
        <v>181</v>
      </c>
      <c r="S78" t="s">
        <v>181</v>
      </c>
    </row>
    <row r="79" spans="1:26" x14ac:dyDescent="0.25">
      <c r="A79" s="3">
        <v>3</v>
      </c>
      <c r="B79" t="s">
        <v>9</v>
      </c>
      <c r="C79" t="s">
        <v>20</v>
      </c>
      <c r="F79" t="str">
        <f>IF(I79="","",SUBSTITUTE(VLOOKUP(I79,event!E:F,2,0),"?",J79))</f>
        <v>自己回合自己未处于搏斗且自己武器槽未满</v>
      </c>
      <c r="G79" t="str">
        <f>IF(M79="","",SUBSTITUTE(VLOOKUP(M79,effect!B:E,4,0),"?",N79))</f>
        <v/>
      </c>
      <c r="H79" t="str">
        <f>SUBSTITUTE(VLOOKUP(O79,effect!B:E,4,0),"?",P79)</f>
        <v>装备上武器</v>
      </c>
      <c r="I79" t="s">
        <v>308</v>
      </c>
      <c r="O79" t="s">
        <v>489</v>
      </c>
      <c r="P79">
        <v>3</v>
      </c>
      <c r="Q79" t="s">
        <v>181</v>
      </c>
      <c r="R79" t="s">
        <v>181</v>
      </c>
      <c r="S79" t="s">
        <v>181</v>
      </c>
    </row>
    <row r="80" spans="1:26" x14ac:dyDescent="0.25">
      <c r="A80" s="3">
        <v>4</v>
      </c>
      <c r="B80" t="s">
        <v>9</v>
      </c>
      <c r="C80" t="s">
        <v>21</v>
      </c>
      <c r="F80" t="str">
        <f>IF(I80="","",SUBSTITUTE(VLOOKUP(I80,event!E:F,2,0),"?",J80))</f>
        <v>自己回合自己未处于搏斗且自己武器槽未满</v>
      </c>
      <c r="G80" t="str">
        <f>IF(M80="","",SUBSTITUTE(VLOOKUP(M80,effect!B:E,4,0),"?",N80))</f>
        <v>自己血-3</v>
      </c>
      <c r="H80" t="str">
        <f>SUBSTITUTE(VLOOKUP(O80,effect!B:E,4,0),"?",P80)</f>
        <v>装备上武器</v>
      </c>
      <c r="I80" t="s">
        <v>308</v>
      </c>
      <c r="M80" t="s">
        <v>563</v>
      </c>
      <c r="N80">
        <v>3</v>
      </c>
      <c r="O80" t="s">
        <v>489</v>
      </c>
      <c r="P80">
        <v>4</v>
      </c>
      <c r="Q80" t="s">
        <v>181</v>
      </c>
      <c r="R80" t="s">
        <v>181</v>
      </c>
      <c r="S80" t="s">
        <v>181</v>
      </c>
    </row>
    <row r="81" spans="1:26" x14ac:dyDescent="0.25">
      <c r="A81" s="3">
        <v>5</v>
      </c>
      <c r="B81" t="s">
        <v>9</v>
      </c>
      <c r="C81" t="s">
        <v>22</v>
      </c>
      <c r="F81" t="str">
        <f>IF(I81="","",SUBSTITUTE(VLOOKUP(I81,event!E:F,2,0),"?",J81))</f>
        <v>自己回合自己未处于搏斗且自己武器槽未满</v>
      </c>
      <c r="G81" t="str">
        <f>IF(M81="","",SUBSTITUTE(VLOOKUP(M81,effect!B:E,4,0),"?",N81))</f>
        <v/>
      </c>
      <c r="H81" t="str">
        <f>SUBSTITUTE(VLOOKUP(O81,effect!B:E,4,0),"?",P81)</f>
        <v>装备上武器</v>
      </c>
      <c r="I81" t="s">
        <v>308</v>
      </c>
      <c r="O81" t="s">
        <v>489</v>
      </c>
      <c r="P81">
        <v>5</v>
      </c>
      <c r="Q81" t="s">
        <v>181</v>
      </c>
      <c r="R81" t="s">
        <v>181</v>
      </c>
      <c r="S81" t="s">
        <v>181</v>
      </c>
    </row>
    <row r="82" spans="1:26" x14ac:dyDescent="0.25">
      <c r="A82" s="3">
        <v>6</v>
      </c>
      <c r="B82" t="s">
        <v>9</v>
      </c>
      <c r="C82" t="s">
        <v>23</v>
      </c>
      <c r="F82" t="str">
        <f>IF(I82="","",SUBSTITUTE(VLOOKUP(I82,event!E:F,2,0),"?",J82))</f>
        <v>自己回合自己未处于搏斗且自己武器槽未满</v>
      </c>
      <c r="G82" t="str">
        <f>IF(M82="","",SUBSTITUTE(VLOOKUP(M82,effect!B:E,4,0),"?",N82))</f>
        <v/>
      </c>
      <c r="H82" t="str">
        <f>SUBSTITUTE(VLOOKUP(O82,effect!B:E,4,0),"?",P82)</f>
        <v>装备上武器</v>
      </c>
      <c r="I82" t="s">
        <v>308</v>
      </c>
      <c r="O82" t="s">
        <v>489</v>
      </c>
      <c r="P82">
        <v>6</v>
      </c>
      <c r="Q82" t="s">
        <v>181</v>
      </c>
      <c r="R82" t="s">
        <v>181</v>
      </c>
      <c r="S82" t="s">
        <v>181</v>
      </c>
    </row>
    <row r="83" spans="1:26" x14ac:dyDescent="0.25">
      <c r="A83" s="3">
        <v>7</v>
      </c>
      <c r="B83" t="s">
        <v>9</v>
      </c>
      <c r="C83" t="s">
        <v>24</v>
      </c>
      <c r="F83" t="str">
        <f>IF(I83="","",SUBSTITUTE(VLOOKUP(I83,event!E:F,2,0),"?",J83))</f>
        <v>自己回合自己未处于搏斗且自己武器槽未满</v>
      </c>
      <c r="G83" t="str">
        <f>IF(M83="","",SUBSTITUTE(VLOOKUP(M83,effect!B:E,4,0),"?",N83))</f>
        <v/>
      </c>
      <c r="H83" t="str">
        <f>SUBSTITUTE(VLOOKUP(O83,effect!B:E,4,0),"?",P83)</f>
        <v>装备上武器</v>
      </c>
      <c r="I83" t="s">
        <v>308</v>
      </c>
      <c r="O83" t="s">
        <v>489</v>
      </c>
      <c r="P83">
        <v>7</v>
      </c>
      <c r="Q83" t="s">
        <v>181</v>
      </c>
      <c r="R83" t="s">
        <v>181</v>
      </c>
      <c r="S83" t="s">
        <v>181</v>
      </c>
    </row>
    <row r="84" spans="1:26" x14ac:dyDescent="0.25">
      <c r="A84" s="3">
        <v>8</v>
      </c>
      <c r="B84" t="s">
        <v>9</v>
      </c>
      <c r="C84" t="s">
        <v>25</v>
      </c>
      <c r="F84" t="str">
        <f>IF(I84="","",SUBSTITUTE(VLOOKUP(I84,event!E:F,2,0),"?",J84))</f>
        <v>自己回合自己未处于搏斗且自己武器槽未满</v>
      </c>
      <c r="G84" t="str">
        <f>IF(M84="","",SUBSTITUTE(VLOOKUP(M84,effect!B:E,4,0),"?",N84))</f>
        <v/>
      </c>
      <c r="H84" t="str">
        <f>SUBSTITUTE(VLOOKUP(O84,effect!B:E,4,0),"?",P84)</f>
        <v>装备上武器</v>
      </c>
      <c r="I84" t="s">
        <v>308</v>
      </c>
      <c r="O84" t="s">
        <v>489</v>
      </c>
      <c r="P84">
        <v>8</v>
      </c>
      <c r="Q84" t="s">
        <v>181</v>
      </c>
      <c r="R84" t="s">
        <v>181</v>
      </c>
      <c r="S84" t="s">
        <v>181</v>
      </c>
    </row>
    <row r="85" spans="1:26" x14ac:dyDescent="0.25">
      <c r="A85" s="3">
        <v>9</v>
      </c>
      <c r="B85" t="s">
        <v>9</v>
      </c>
      <c r="C85" t="s">
        <v>26</v>
      </c>
      <c r="F85" t="str">
        <f>IF(I85="","",SUBSTITUTE(VLOOKUP(I85,event!E:F,2,0),"?",J85))</f>
        <v>自己回合自己未处于搏斗且自己武器槽未满</v>
      </c>
      <c r="G85" t="str">
        <f>IF(M85="","",SUBSTITUTE(VLOOKUP(M85,effect!B:E,4,0),"?",N85))</f>
        <v/>
      </c>
      <c r="H85" t="str">
        <f>SUBSTITUTE(VLOOKUP(O85,effect!B:E,4,0),"?",P85)</f>
        <v>装备上武器</v>
      </c>
      <c r="I85" t="s">
        <v>308</v>
      </c>
      <c r="O85" t="s">
        <v>489</v>
      </c>
      <c r="P85">
        <v>9</v>
      </c>
      <c r="Q85" t="s">
        <v>181</v>
      </c>
      <c r="R85" t="s">
        <v>181</v>
      </c>
      <c r="S85" t="s">
        <v>181</v>
      </c>
    </row>
    <row r="86" spans="1:26" x14ac:dyDescent="0.25">
      <c r="A86" s="3">
        <v>1001</v>
      </c>
      <c r="B86" t="s">
        <v>29</v>
      </c>
      <c r="C86" t="s">
        <v>33</v>
      </c>
      <c r="F86" t="str">
        <f>IF(I86="","",SUBSTITUTE(VLOOKUP(I86,event!E:F,2,0),"?",J86))</f>
        <v/>
      </c>
      <c r="G86" t="str">
        <f>IF(M86="","",SUBSTITUTE(VLOOKUP(M86,effect!B:E,4,0),"?",N86))</f>
        <v/>
      </c>
      <c r="H86" t="str">
        <f>SUBSTITUTE(VLOOKUP(O86,effect!B:E,4,0),"?",P86)</f>
        <v>攻+1</v>
      </c>
      <c r="O86" t="s">
        <v>353</v>
      </c>
      <c r="P86">
        <v>1</v>
      </c>
      <c r="Q86" t="s">
        <v>182</v>
      </c>
      <c r="R86" t="s">
        <v>183</v>
      </c>
      <c r="S86" t="s">
        <v>181</v>
      </c>
      <c r="X86" t="s">
        <v>91</v>
      </c>
      <c r="Y86" t="s">
        <v>196</v>
      </c>
    </row>
    <row r="87" spans="1:26" x14ac:dyDescent="0.25">
      <c r="A87" s="3">
        <v>1002</v>
      </c>
      <c r="B87" t="s">
        <v>29</v>
      </c>
      <c r="C87" t="s">
        <v>30</v>
      </c>
      <c r="D87" t="s">
        <v>209</v>
      </c>
      <c r="E87">
        <v>1</v>
      </c>
      <c r="F87" t="str">
        <f>IF(I87="","",SUBSTITUTE(VLOOKUP(I87,event!E:F,2,0),"?",J87))</f>
        <v/>
      </c>
      <c r="G87" t="str">
        <f>IF(M87="","",SUBSTITUTE(VLOOKUP(M87,effect!B:E,4,0),"?",N87))</f>
        <v>自己丢1手卡</v>
      </c>
      <c r="H87" t="str">
        <f>SUBSTITUTE(VLOOKUP(O87,effect!B:E,4,0),"?",P87)</f>
        <v>自己抽1卡</v>
      </c>
      <c r="M87" t="s">
        <v>561</v>
      </c>
      <c r="N87">
        <v>1</v>
      </c>
      <c r="O87" t="s">
        <v>369</v>
      </c>
      <c r="P87">
        <v>1</v>
      </c>
      <c r="Q87" t="s">
        <v>182</v>
      </c>
      <c r="R87" t="s">
        <v>185</v>
      </c>
      <c r="S87" t="s">
        <v>181</v>
      </c>
      <c r="X87" t="s">
        <v>91</v>
      </c>
      <c r="Y87" t="s">
        <v>196</v>
      </c>
    </row>
    <row r="88" spans="1:26" x14ac:dyDescent="0.25">
      <c r="A88" s="3">
        <v>1003</v>
      </c>
      <c r="B88" t="s">
        <v>29</v>
      </c>
      <c r="C88" t="s">
        <v>31</v>
      </c>
      <c r="D88" t="s">
        <v>219</v>
      </c>
      <c r="E88">
        <v>4</v>
      </c>
      <c r="F88" t="str">
        <f>IF(I88="","",SUBSTITUTE(VLOOKUP(I88,event!E:F,2,0),"?",J88))</f>
        <v>自己即将受到普攻</v>
      </c>
      <c r="G88" t="str">
        <f>IF(M88="","",SUBSTITUTE(VLOOKUP(M88,effect!B:E,4,0),"?",N88))</f>
        <v/>
      </c>
      <c r="H88" t="str">
        <f>SUBSTITUTE(VLOOKUP(O88,effect!B:E,4,0),"?",P88)</f>
        <v>自己格挡此次普攻，格挡第4次普攻后将此装备卡破坏</v>
      </c>
      <c r="I88" t="s">
        <v>217</v>
      </c>
      <c r="O88" t="s">
        <v>400</v>
      </c>
      <c r="Q88" t="s">
        <v>182</v>
      </c>
      <c r="R88" t="s">
        <v>185</v>
      </c>
      <c r="S88" t="s">
        <v>181</v>
      </c>
      <c r="X88" t="s">
        <v>91</v>
      </c>
      <c r="Y88" t="s">
        <v>196</v>
      </c>
    </row>
    <row r="89" spans="1:26" x14ac:dyDescent="0.25">
      <c r="A89" s="3">
        <v>1004</v>
      </c>
      <c r="B89" t="s">
        <v>29</v>
      </c>
      <c r="C89" t="s">
        <v>32</v>
      </c>
      <c r="F89" t="str">
        <f>IF(I89="","",SUBSTITUTE(VLOOKUP(I89,event!E:F,2,0),"?",J89))</f>
        <v>自己回合自己未处于搏斗</v>
      </c>
      <c r="G89" t="str">
        <f>IF(M89="","",SUBSTITUTE(VLOOKUP(M89,effect!B:E,4,0),"?",N89))</f>
        <v>自己主动将此武器破坏</v>
      </c>
      <c r="H89" t="str">
        <f>SUBSTITUTE(VLOOKUP(O89,effect!B:E,4,0),"?",P89)</f>
        <v>自己指定1人伤2血</v>
      </c>
      <c r="I89" t="s">
        <v>541</v>
      </c>
      <c r="M89" t="s">
        <v>565</v>
      </c>
      <c r="O89" t="s">
        <v>673</v>
      </c>
      <c r="P89">
        <v>2</v>
      </c>
      <c r="Q89" t="s">
        <v>181</v>
      </c>
      <c r="R89" t="s">
        <v>181</v>
      </c>
      <c r="S89" t="s">
        <v>181</v>
      </c>
    </row>
    <row r="90" spans="1:26" x14ac:dyDescent="0.25">
      <c r="A90" s="3">
        <v>1011</v>
      </c>
      <c r="B90" t="s">
        <v>29</v>
      </c>
      <c r="C90" t="s">
        <v>34</v>
      </c>
      <c r="F90" t="str">
        <f>IF(I90="","",SUBSTITUTE(VLOOKUP(I90,event!E:F,2,0),"?",J90))</f>
        <v/>
      </c>
      <c r="G90" t="str">
        <f>IF(M90="","",SUBSTITUTE(VLOOKUP(M90,effect!B:E,4,0),"?",N90))</f>
        <v/>
      </c>
      <c r="H90" t="str">
        <f>SUBSTITUTE(VLOOKUP(O90,effect!B:E,4,0),"?",P90)</f>
        <v>攻+1</v>
      </c>
      <c r="O90" t="s">
        <v>353</v>
      </c>
      <c r="P90">
        <v>1</v>
      </c>
      <c r="Q90" t="s">
        <v>182</v>
      </c>
      <c r="R90" t="s">
        <v>183</v>
      </c>
      <c r="S90" t="s">
        <v>181</v>
      </c>
      <c r="X90" t="s">
        <v>91</v>
      </c>
      <c r="Y90" t="s">
        <v>196</v>
      </c>
    </row>
    <row r="91" spans="1:26" x14ac:dyDescent="0.25">
      <c r="A91" s="3">
        <v>1012</v>
      </c>
      <c r="B91" t="s">
        <v>29</v>
      </c>
      <c r="C91" t="s">
        <v>35</v>
      </c>
      <c r="D91" t="s">
        <v>209</v>
      </c>
      <c r="E91">
        <v>2</v>
      </c>
      <c r="F91" t="str">
        <f>IF(I91="","",SUBSTITUTE(VLOOKUP(I91,event!E:F,2,0),"?",J91))</f>
        <v/>
      </c>
      <c r="G91" t="str">
        <f>IF(M91="","",SUBSTITUTE(VLOOKUP(M91,effect!B:E,4,0),"?",N91))</f>
        <v/>
      </c>
      <c r="H91" t="str">
        <f>SUBSTITUTE(VLOOKUP(O91,effect!B:E,4,0),"?",P91)</f>
        <v>此回合自己攻+1</v>
      </c>
      <c r="O91" t="s">
        <v>522</v>
      </c>
      <c r="Q91" t="s">
        <v>182</v>
      </c>
      <c r="R91" t="s">
        <v>185</v>
      </c>
      <c r="S91" t="s">
        <v>181</v>
      </c>
      <c r="X91" t="s">
        <v>91</v>
      </c>
      <c r="Y91" t="s">
        <v>196</v>
      </c>
    </row>
    <row r="92" spans="1:26" x14ac:dyDescent="0.25">
      <c r="A92" s="3">
        <v>1013</v>
      </c>
      <c r="B92" t="s">
        <v>29</v>
      </c>
      <c r="C92" t="s">
        <v>36</v>
      </c>
      <c r="F92" t="str">
        <f>IF(I92="","",SUBSTITUTE(VLOOKUP(I92,event!E:F,2,0),"?",J92))</f>
        <v>自己回合自己未处于搏斗</v>
      </c>
      <c r="G92" t="str">
        <f>IF(M92="","",SUBSTITUTE(VLOOKUP(M92,effect!B:E,4,0),"?",N92))</f>
        <v>自己主动将此武器破坏</v>
      </c>
      <c r="H92" t="str">
        <f>SUBSTITUTE(VLOOKUP(O92,effect!B:E,4,0),"?",P92)</f>
        <v>自己指定1人伤1血</v>
      </c>
      <c r="I92" t="s">
        <v>541</v>
      </c>
      <c r="M92" t="s">
        <v>565</v>
      </c>
      <c r="O92" t="s">
        <v>673</v>
      </c>
      <c r="P92">
        <v>1</v>
      </c>
      <c r="Q92" t="s">
        <v>181</v>
      </c>
      <c r="R92" t="s">
        <v>181</v>
      </c>
      <c r="S92" t="s">
        <v>181</v>
      </c>
    </row>
    <row r="93" spans="1:26" x14ac:dyDescent="0.25">
      <c r="A93" s="3">
        <v>1014</v>
      </c>
      <c r="B93" t="s">
        <v>462</v>
      </c>
      <c r="C93" t="s">
        <v>521</v>
      </c>
      <c r="F93" t="str">
        <f>IF(I93="","",SUBSTITUTE(VLOOKUP(I93,event!E:F,2,0),"?",J93))</f>
        <v/>
      </c>
      <c r="G93" t="str">
        <f>IF(M93="","",SUBSTITUTE(VLOOKUP(M93,effect!B:E,4,0),"?",N93))</f>
        <v/>
      </c>
      <c r="H93" t="str">
        <f>SUBSTITUTE(VLOOKUP(O93,effect!B:E,4,0),"?",P93)</f>
        <v>攻+1</v>
      </c>
      <c r="O93" t="s">
        <v>353</v>
      </c>
      <c r="P93">
        <v>1</v>
      </c>
      <c r="Q93" t="s">
        <v>182</v>
      </c>
      <c r="R93" t="s">
        <v>183</v>
      </c>
      <c r="X93" t="s">
        <v>91</v>
      </c>
      <c r="Y93" t="s">
        <v>93</v>
      </c>
      <c r="Z93">
        <v>1</v>
      </c>
    </row>
    <row r="94" spans="1:26" x14ac:dyDescent="0.25">
      <c r="A94" s="3">
        <v>1021</v>
      </c>
      <c r="B94" t="s">
        <v>29</v>
      </c>
      <c r="C94" t="s">
        <v>38</v>
      </c>
      <c r="F94" t="str">
        <f>IF(I94="","",SUBSTITUTE(VLOOKUP(I94,event!E:F,2,0),"?",J94))</f>
        <v/>
      </c>
      <c r="G94" t="str">
        <f>IF(M94="","",SUBSTITUTE(VLOOKUP(M94,effect!B:E,4,0),"?",N94))</f>
        <v/>
      </c>
      <c r="H94" t="str">
        <f>SUBSTITUTE(VLOOKUP(O94,effect!B:E,4,0),"?",P94)</f>
        <v>攻+2</v>
      </c>
      <c r="O94" t="s">
        <v>353</v>
      </c>
      <c r="P94">
        <v>2</v>
      </c>
      <c r="Q94" t="s">
        <v>182</v>
      </c>
      <c r="R94" t="s">
        <v>183</v>
      </c>
      <c r="S94" t="s">
        <v>181</v>
      </c>
      <c r="X94" t="s">
        <v>91</v>
      </c>
      <c r="Y94" t="s">
        <v>196</v>
      </c>
    </row>
    <row r="95" spans="1:26" x14ac:dyDescent="0.25">
      <c r="A95" s="3">
        <v>1022</v>
      </c>
      <c r="B95" t="s">
        <v>29</v>
      </c>
      <c r="C95" t="s">
        <v>39</v>
      </c>
      <c r="F95" t="str">
        <f>IF(I95="","",SUBSTITUTE(VLOOKUP(I95,event!E:F,2,0),"?",J95))</f>
        <v/>
      </c>
      <c r="G95" t="str">
        <f>IF(M95="","",SUBSTITUTE(VLOOKUP(M95,effect!B:E,4,0),"?",N95))</f>
        <v/>
      </c>
      <c r="H95" t="str">
        <f>SUBSTITUTE(VLOOKUP(O95,effect!B:E,4,0),"?",P95)</f>
        <v>自己回复1血</v>
      </c>
      <c r="O95" t="s">
        <v>364</v>
      </c>
      <c r="P95">
        <v>1</v>
      </c>
      <c r="Q95" t="s">
        <v>182</v>
      </c>
      <c r="R95" t="s">
        <v>183</v>
      </c>
      <c r="S95" t="s">
        <v>184</v>
      </c>
      <c r="X95" t="s">
        <v>91</v>
      </c>
      <c r="Y95" t="s">
        <v>196</v>
      </c>
    </row>
    <row r="96" spans="1:26" x14ac:dyDescent="0.25">
      <c r="A96" s="3">
        <v>1023</v>
      </c>
      <c r="B96" t="s">
        <v>29</v>
      </c>
      <c r="C96" t="s">
        <v>40</v>
      </c>
      <c r="F96" t="str">
        <f>IF(I96="","",SUBSTITUTE(VLOOKUP(I96,event!E:F,2,0),"?",J96))</f>
        <v>自己回合自己未处于搏斗</v>
      </c>
      <c r="G96" t="str">
        <f>IF(M96="","",SUBSTITUTE(VLOOKUP(M96,effect!B:E,4,0),"?",N96))</f>
        <v/>
      </c>
      <c r="H96" t="str">
        <f>SUBSTITUTE(VLOOKUP(O96,effect!B:E,4,0),"?",P96)</f>
        <v>自己指定1人回复3血</v>
      </c>
      <c r="I96" t="s">
        <v>541</v>
      </c>
      <c r="O96" t="s">
        <v>360</v>
      </c>
      <c r="P96">
        <v>3</v>
      </c>
      <c r="Q96" t="s">
        <v>181</v>
      </c>
      <c r="R96" t="s">
        <v>181</v>
      </c>
      <c r="S96" t="s">
        <v>181</v>
      </c>
    </row>
    <row r="97" spans="1:26" x14ac:dyDescent="0.25">
      <c r="A97" s="3">
        <v>1031</v>
      </c>
      <c r="B97" t="s">
        <v>29</v>
      </c>
      <c r="C97" t="s">
        <v>41</v>
      </c>
      <c r="F97" t="str">
        <f>IF(I97="","",SUBSTITUTE(VLOOKUP(I97,event!E:F,2,0),"?",J97))</f>
        <v/>
      </c>
      <c r="G97" t="str">
        <f>IF(M97="","",SUBSTITUTE(VLOOKUP(M97,effect!B:E,4,0),"?",N97))</f>
        <v/>
      </c>
      <c r="H97" t="str">
        <f>SUBSTITUTE(VLOOKUP(O97,effect!B:E,4,0),"?",P97)</f>
        <v>攻+1</v>
      </c>
      <c r="O97" t="s">
        <v>353</v>
      </c>
      <c r="P97">
        <v>1</v>
      </c>
      <c r="Q97" t="s">
        <v>182</v>
      </c>
      <c r="R97" t="s">
        <v>183</v>
      </c>
      <c r="S97" t="s">
        <v>181</v>
      </c>
      <c r="X97" t="s">
        <v>91</v>
      </c>
      <c r="Y97" t="s">
        <v>196</v>
      </c>
    </row>
    <row r="98" spans="1:26" x14ac:dyDescent="0.25">
      <c r="A98" s="3">
        <v>1032</v>
      </c>
      <c r="B98" t="s">
        <v>29</v>
      </c>
      <c r="C98" t="s">
        <v>42</v>
      </c>
      <c r="F98" t="str">
        <f>IF(I98="","",SUBSTITUTE(VLOOKUP(I98,event!E:F,2,0),"?",J98))</f>
        <v>自己参与搏斗</v>
      </c>
      <c r="G98" t="str">
        <f>IF(M98="","",SUBSTITUTE(VLOOKUP(M98,effect!B:E,4,0),"?",N98))</f>
        <v/>
      </c>
      <c r="H98" t="str">
        <f>SUBSTITUTE(VLOOKUP(O98,effect!B:E,4,0),"?",P98)</f>
        <v>随机破坏 与自己搏斗者 装备的1张装备卡</v>
      </c>
      <c r="I98" t="s">
        <v>305</v>
      </c>
      <c r="O98" t="s">
        <v>492</v>
      </c>
      <c r="Q98" t="s">
        <v>182</v>
      </c>
      <c r="R98" t="s">
        <v>183</v>
      </c>
      <c r="S98" t="s">
        <v>184</v>
      </c>
      <c r="X98" t="s">
        <v>91</v>
      </c>
      <c r="Y98" t="s">
        <v>196</v>
      </c>
    </row>
    <row r="99" spans="1:26" x14ac:dyDescent="0.25">
      <c r="A99" s="3">
        <v>1033</v>
      </c>
      <c r="B99" t="s">
        <v>29</v>
      </c>
      <c r="C99" t="s">
        <v>44</v>
      </c>
      <c r="F99" t="str">
        <f>IF(I99="","",SUBSTITUTE(VLOOKUP(I99,event!E:F,2,0),"?",J99))</f>
        <v>自己回合自己未处于搏斗</v>
      </c>
      <c r="G99" t="str">
        <f>IF(M99="","",SUBSTITUTE(VLOOKUP(M99,effect!B:E,4,0),"?",N99))</f>
        <v>自己主动将此武器破坏</v>
      </c>
      <c r="H99" t="str">
        <f>SUBSTITUTE(VLOOKUP(O99,effect!B:E,4,0),"?",P99)</f>
        <v>自己指定1人伤2血</v>
      </c>
      <c r="I99" t="s">
        <v>541</v>
      </c>
      <c r="M99" t="s">
        <v>565</v>
      </c>
      <c r="O99" t="s">
        <v>673</v>
      </c>
      <c r="P99">
        <v>2</v>
      </c>
      <c r="Q99" t="s">
        <v>181</v>
      </c>
      <c r="R99" t="s">
        <v>181</v>
      </c>
      <c r="S99" t="s">
        <v>181</v>
      </c>
    </row>
    <row r="100" spans="1:26" x14ac:dyDescent="0.25">
      <c r="A100" s="3">
        <v>1043</v>
      </c>
      <c r="B100" t="s">
        <v>29</v>
      </c>
      <c r="C100" t="s">
        <v>46</v>
      </c>
      <c r="F100" t="str">
        <f>IF(I100="","",SUBSTITUTE(VLOOKUP(I100,event!E:F,2,0),"?",J100))</f>
        <v/>
      </c>
      <c r="G100" t="str">
        <f>IF(M100="","",SUBSTITUTE(VLOOKUP(M100,effect!B:E,4,0),"?",N100))</f>
        <v/>
      </c>
      <c r="H100" t="str">
        <f>SUBSTITUTE(VLOOKUP(O100,effect!B:E,4,0),"?",P100)</f>
        <v>攻+2</v>
      </c>
      <c r="O100" t="s">
        <v>353</v>
      </c>
      <c r="P100">
        <v>2</v>
      </c>
      <c r="Q100" t="s">
        <v>182</v>
      </c>
      <c r="R100" t="s">
        <v>183</v>
      </c>
      <c r="S100" t="s">
        <v>181</v>
      </c>
      <c r="X100" t="s">
        <v>91</v>
      </c>
      <c r="Y100" t="s">
        <v>196</v>
      </c>
    </row>
    <row r="101" spans="1:26" x14ac:dyDescent="0.25">
      <c r="A101" s="3">
        <v>1044</v>
      </c>
      <c r="B101" t="s">
        <v>29</v>
      </c>
      <c r="C101" t="s">
        <v>47</v>
      </c>
      <c r="D101" t="s">
        <v>219</v>
      </c>
      <c r="E101">
        <v>1</v>
      </c>
      <c r="F101" t="str">
        <f>IF(I101="","",SUBSTITUTE(VLOOKUP(I101,event!E:F,2,0),"?",J101))</f>
        <v/>
      </c>
      <c r="G101" t="str">
        <f>IF(M101="","",SUBSTITUTE(VLOOKUP(M101,effect!B:E,4,0),"?",N101))</f>
        <v/>
      </c>
      <c r="H101" t="str">
        <f>SUBSTITUTE(VLOOKUP(O101,effect!B:E,4,0),"?",P101)</f>
        <v>自己持续不死2轮回</v>
      </c>
      <c r="O101" t="s">
        <v>528</v>
      </c>
      <c r="Q101" t="s">
        <v>182</v>
      </c>
      <c r="R101" t="s">
        <v>185</v>
      </c>
      <c r="S101" t="s">
        <v>181</v>
      </c>
      <c r="X101" t="s">
        <v>91</v>
      </c>
      <c r="Y101" t="s">
        <v>196</v>
      </c>
    </row>
    <row r="102" spans="1:26" x14ac:dyDescent="0.25">
      <c r="A102" s="3">
        <v>1045</v>
      </c>
      <c r="B102" t="s">
        <v>29</v>
      </c>
      <c r="C102" t="s">
        <v>49</v>
      </c>
      <c r="F102" t="str">
        <f>IF(I102="","",SUBSTITUTE(VLOOKUP(I102,event!E:F,2,0),"?",J102))</f>
        <v>自己回合自己未处于搏斗</v>
      </c>
      <c r="G102" t="str">
        <f>IF(M102="","",SUBSTITUTE(VLOOKUP(M102,effect!B:E,4,0),"?",N102))</f>
        <v>自己主动将此武器破坏</v>
      </c>
      <c r="H102" t="str">
        <f>SUBSTITUTE(VLOOKUP(O102,effect!B:E,4,0),"?",P102)</f>
        <v>自己指定1人50%伤3血</v>
      </c>
      <c r="I102" t="s">
        <v>541</v>
      </c>
      <c r="M102" t="s">
        <v>565</v>
      </c>
      <c r="O102" t="s">
        <v>674</v>
      </c>
      <c r="P102">
        <v>3</v>
      </c>
      <c r="Q102" t="s">
        <v>181</v>
      </c>
      <c r="R102" t="s">
        <v>181</v>
      </c>
    </row>
    <row r="103" spans="1:26" x14ac:dyDescent="0.25">
      <c r="A103" s="3">
        <v>1046</v>
      </c>
      <c r="B103" t="s">
        <v>462</v>
      </c>
      <c r="C103" t="s">
        <v>525</v>
      </c>
      <c r="F103" t="str">
        <f>IF(I103="","",SUBSTITUTE(VLOOKUP(I103,event!E:F,2,0),"?",J103))</f>
        <v/>
      </c>
      <c r="G103" t="str">
        <f>IF(M103="","",SUBSTITUTE(VLOOKUP(M103,effect!B:E,4,0),"?",N103))</f>
        <v/>
      </c>
      <c r="H103" t="str">
        <f>SUBSTITUTE(VLOOKUP(O103,effect!B:E,4,0),"?",P103)</f>
        <v>自己不死</v>
      </c>
      <c r="O103" t="s">
        <v>355</v>
      </c>
      <c r="Q103" t="s">
        <v>71</v>
      </c>
      <c r="R103" t="s">
        <v>183</v>
      </c>
      <c r="X103" t="s">
        <v>526</v>
      </c>
      <c r="Y103" t="s">
        <v>527</v>
      </c>
      <c r="Z103">
        <v>2</v>
      </c>
    </row>
    <row r="104" spans="1:26" x14ac:dyDescent="0.25">
      <c r="A104" s="3">
        <v>1051</v>
      </c>
      <c r="B104" t="s">
        <v>29</v>
      </c>
      <c r="C104" t="s">
        <v>50</v>
      </c>
      <c r="F104" t="str">
        <f>IF(I104="","",SUBSTITUTE(VLOOKUP(I104,event!E:F,2,0),"?",J104))</f>
        <v>自己抽卡</v>
      </c>
      <c r="G104" t="str">
        <f>IF(M104="","",SUBSTITUTE(VLOOKUP(M104,effect!B:E,4,0),"?",N104))</f>
        <v/>
      </c>
      <c r="H104" t="str">
        <f>SUBSTITUTE(VLOOKUP(O104,effect!B:E,4,0),"?",P104)</f>
        <v>自己回复1血</v>
      </c>
      <c r="I104" t="s">
        <v>551</v>
      </c>
      <c r="O104" t="s">
        <v>364</v>
      </c>
      <c r="P104">
        <v>1</v>
      </c>
      <c r="Q104" t="s">
        <v>71</v>
      </c>
      <c r="R104" t="s">
        <v>183</v>
      </c>
      <c r="S104" t="s">
        <v>184</v>
      </c>
      <c r="X104" t="s">
        <v>91</v>
      </c>
      <c r="Y104" t="s">
        <v>196</v>
      </c>
    </row>
    <row r="105" spans="1:26" x14ac:dyDescent="0.25">
      <c r="A105" s="3">
        <v>1052</v>
      </c>
      <c r="B105" t="s">
        <v>29</v>
      </c>
      <c r="C105" t="s">
        <v>51</v>
      </c>
      <c r="D105" t="s">
        <v>209</v>
      </c>
      <c r="E105">
        <v>1</v>
      </c>
      <c r="F105" t="str">
        <f>IF(I105="","",SUBSTITUTE(VLOOKUP(I105,event!E:F,2,0),"?",J105))</f>
        <v/>
      </c>
      <c r="G105" t="str">
        <f>IF(M105="","",SUBSTITUTE(VLOOKUP(M105,effect!B:E,4,0),"?",N105))</f>
        <v>自己丢1手卡</v>
      </c>
      <c r="H105" t="str">
        <f>SUBSTITUTE(VLOOKUP(O105,effect!B:E,4,0),"?",P105)</f>
        <v>自己回复1血</v>
      </c>
      <c r="M105" t="s">
        <v>561</v>
      </c>
      <c r="N105">
        <v>1</v>
      </c>
      <c r="O105" t="s">
        <v>364</v>
      </c>
      <c r="P105">
        <v>1</v>
      </c>
      <c r="Q105" t="s">
        <v>182</v>
      </c>
      <c r="R105" t="s">
        <v>185</v>
      </c>
      <c r="S105" t="s">
        <v>181</v>
      </c>
      <c r="X105" t="s">
        <v>91</v>
      </c>
      <c r="Y105" t="s">
        <v>196</v>
      </c>
    </row>
    <row r="106" spans="1:26" x14ac:dyDescent="0.25">
      <c r="A106" s="3">
        <v>1053</v>
      </c>
      <c r="B106" t="s">
        <v>29</v>
      </c>
      <c r="C106" t="s">
        <v>52</v>
      </c>
      <c r="D106" t="s">
        <v>54</v>
      </c>
      <c r="E106">
        <v>1</v>
      </c>
      <c r="F106" t="str">
        <f>IF(I106="","",SUBSTITUTE(VLOOKUP(I106,event!E:F,2,0),"?",J106))</f>
        <v/>
      </c>
      <c r="G106" t="str">
        <f>IF(M106="","",SUBSTITUTE(VLOOKUP(M106,effect!B:E,4,0),"?",N106))</f>
        <v/>
      </c>
      <c r="H106" t="str">
        <f>SUBSTITUTE(VLOOKUP(O106,effect!B:E,4,0),"?",P106)</f>
        <v>自己抽1卡</v>
      </c>
      <c r="O106" t="s">
        <v>369</v>
      </c>
      <c r="P106">
        <v>1</v>
      </c>
      <c r="Q106" t="s">
        <v>71</v>
      </c>
      <c r="R106" t="s">
        <v>185</v>
      </c>
      <c r="S106" t="s">
        <v>181</v>
      </c>
      <c r="X106" t="s">
        <v>91</v>
      </c>
      <c r="Y106" t="s">
        <v>195</v>
      </c>
    </row>
    <row r="107" spans="1:26" x14ac:dyDescent="0.25">
      <c r="A107" s="3">
        <v>1061</v>
      </c>
      <c r="B107" t="s">
        <v>29</v>
      </c>
      <c r="C107" t="s">
        <v>53</v>
      </c>
      <c r="F107" t="str">
        <f>IF(I107="","",SUBSTITUTE(VLOOKUP(I107,event!E:F,2,0),"?",J107))</f>
        <v>自己发动手卡</v>
      </c>
      <c r="G107" t="str">
        <f>IF(M107="","",SUBSTITUTE(VLOOKUP(M107,effect!B:E,4,0),"?",N107))</f>
        <v/>
      </c>
      <c r="H107" t="str">
        <f>SUBSTITUTE(VLOOKUP(O107,effect!B:E,4,0),"?",P107)</f>
        <v>给此卡放置1指示物</v>
      </c>
      <c r="I107" t="s">
        <v>552</v>
      </c>
      <c r="O107" t="s">
        <v>530</v>
      </c>
      <c r="P107">
        <v>1</v>
      </c>
      <c r="Q107" t="s">
        <v>182</v>
      </c>
      <c r="R107" t="s">
        <v>183</v>
      </c>
      <c r="S107" t="s">
        <v>184</v>
      </c>
      <c r="V107" t="s">
        <v>71</v>
      </c>
      <c r="W107">
        <v>2</v>
      </c>
      <c r="X107" t="s">
        <v>173</v>
      </c>
      <c r="Y107" t="s">
        <v>196</v>
      </c>
    </row>
    <row r="108" spans="1:26" x14ac:dyDescent="0.25">
      <c r="A108" s="3">
        <v>1062</v>
      </c>
      <c r="B108" t="s">
        <v>29</v>
      </c>
      <c r="C108" t="s">
        <v>55</v>
      </c>
      <c r="F108" t="str">
        <f>IF(I108="","",SUBSTITUTE(VLOOKUP(I108,event!E:F,2,0),"?",J108))</f>
        <v>自己回合且此武器token数量大于1</v>
      </c>
      <c r="G108" t="str">
        <f>IF(M108="","",SUBSTITUTE(VLOOKUP(M108,effect!B:E,4,0),"?",N108))</f>
        <v>自己消耗此武器的2指示物</v>
      </c>
      <c r="H108" t="str">
        <f>SUBSTITUTE(VLOOKUP(O108,effect!B:E,4,0),"?",P108)</f>
        <v>自己指定1人伤1血</v>
      </c>
      <c r="I108" t="s">
        <v>601</v>
      </c>
      <c r="J108">
        <v>1</v>
      </c>
      <c r="M108" t="s">
        <v>567</v>
      </c>
      <c r="N108">
        <v>2</v>
      </c>
      <c r="O108" t="s">
        <v>673</v>
      </c>
      <c r="P108">
        <v>1</v>
      </c>
      <c r="Q108" t="s">
        <v>181</v>
      </c>
      <c r="R108" t="s">
        <v>181</v>
      </c>
      <c r="S108" t="s">
        <v>181</v>
      </c>
    </row>
    <row r="109" spans="1:26" x14ac:dyDescent="0.25">
      <c r="A109" s="3">
        <v>1071</v>
      </c>
      <c r="B109" t="s">
        <v>29</v>
      </c>
      <c r="C109" t="s">
        <v>56</v>
      </c>
      <c r="F109" t="str">
        <f>IF(I109="","",SUBSTITUTE(VLOOKUP(I109,event!E:F,2,0),"?",J109))</f>
        <v>除己外有人死亡时</v>
      </c>
      <c r="G109" t="str">
        <f>IF(M109="","",SUBSTITUTE(VLOOKUP(M109,effect!B:E,4,0),"?",N109))</f>
        <v/>
      </c>
      <c r="H109" t="str">
        <f>SUBSTITUTE(VLOOKUP(O109,effect!B:E,4,0),"?",P109)</f>
        <v>自己血量回满</v>
      </c>
      <c r="I109" t="s">
        <v>556</v>
      </c>
      <c r="O109" t="s">
        <v>684</v>
      </c>
      <c r="Q109" t="s">
        <v>182</v>
      </c>
      <c r="R109" t="s">
        <v>183</v>
      </c>
      <c r="S109" t="s">
        <v>184</v>
      </c>
      <c r="X109" t="s">
        <v>91</v>
      </c>
      <c r="Y109" t="s">
        <v>196</v>
      </c>
    </row>
    <row r="110" spans="1:26" x14ac:dyDescent="0.25">
      <c r="A110" s="3">
        <v>1072</v>
      </c>
      <c r="B110" t="s">
        <v>29</v>
      </c>
      <c r="C110" t="s">
        <v>58</v>
      </c>
      <c r="F110" t="str">
        <f>IF(I110="","",SUBSTITUTE(VLOOKUP(I110,event!E:F,2,0),"?",J110))</f>
        <v>自己即将丢卡</v>
      </c>
      <c r="G110" t="str">
        <f>IF(M110="","",SUBSTITUTE(VLOOKUP(M110,effect!B:E,4,0),"?",N110))</f>
        <v/>
      </c>
      <c r="H110" t="str">
        <f>SUBSTITUTE(VLOOKUP(O110,effect!B:E,4,0),"?",P110)</f>
        <v>自己不受该效果影响</v>
      </c>
      <c r="I110" t="s">
        <v>553</v>
      </c>
      <c r="O110" t="s">
        <v>356</v>
      </c>
      <c r="Q110" t="s">
        <v>182</v>
      </c>
      <c r="R110" t="s">
        <v>183</v>
      </c>
      <c r="S110" t="s">
        <v>184</v>
      </c>
      <c r="X110" t="s">
        <v>91</v>
      </c>
      <c r="Y110" t="s">
        <v>196</v>
      </c>
    </row>
    <row r="111" spans="1:26" x14ac:dyDescent="0.25">
      <c r="A111" s="3">
        <v>1073</v>
      </c>
      <c r="B111" t="s">
        <v>29</v>
      </c>
      <c r="C111" t="s">
        <v>60</v>
      </c>
      <c r="F111" t="str">
        <f>IF(I111="","",SUBSTITUTE(VLOOKUP(I111,event!E:F,2,0),"?",J111))</f>
        <v>自己即将受到自主效果</v>
      </c>
      <c r="G111" t="str">
        <f>IF(M111="","",SUBSTITUTE(VLOOKUP(M111,effect!B:E,4,0),"?",N111))</f>
        <v/>
      </c>
      <c r="H111" t="str">
        <f>SUBSTITUTE(VLOOKUP(O111,effect!B:E,4,0),"?",P111)</f>
        <v>自己不受该效果影响</v>
      </c>
      <c r="I111" t="s">
        <v>554</v>
      </c>
      <c r="O111" t="s">
        <v>356</v>
      </c>
      <c r="Q111" t="s">
        <v>182</v>
      </c>
      <c r="R111" t="s">
        <v>183</v>
      </c>
      <c r="S111" t="s">
        <v>184</v>
      </c>
      <c r="X111" t="s">
        <v>91</v>
      </c>
      <c r="Y111" t="s">
        <v>196</v>
      </c>
    </row>
    <row r="112" spans="1:26" x14ac:dyDescent="0.25">
      <c r="A112" s="3">
        <v>1074</v>
      </c>
      <c r="B112" t="s">
        <v>29</v>
      </c>
      <c r="C112" t="s">
        <v>61</v>
      </c>
      <c r="F112" t="str">
        <f>IF(I112="","",SUBSTITUTE(VLOOKUP(I112,event!E:F,2,0),"?",J112))</f>
        <v>自己即将受到"公开手卡"效果</v>
      </c>
      <c r="G112" t="str">
        <f>IF(M112="","",SUBSTITUTE(VLOOKUP(M112,effect!B:E,4,0),"?",N112))</f>
        <v/>
      </c>
      <c r="H112" t="str">
        <f>SUBSTITUTE(VLOOKUP(O112,effect!B:E,4,0),"?",P112)</f>
        <v>自己不受该效果影响</v>
      </c>
      <c r="I112" t="s">
        <v>289</v>
      </c>
      <c r="O112" t="s">
        <v>356</v>
      </c>
      <c r="Q112" t="s">
        <v>182</v>
      </c>
      <c r="R112" t="s">
        <v>183</v>
      </c>
      <c r="S112" t="s">
        <v>184</v>
      </c>
      <c r="X112" t="s">
        <v>91</v>
      </c>
      <c r="Y112" t="s">
        <v>196</v>
      </c>
    </row>
    <row r="113" spans="1:26" x14ac:dyDescent="0.25">
      <c r="A113" s="3">
        <v>1081</v>
      </c>
      <c r="B113" t="s">
        <v>29</v>
      </c>
      <c r="C113" t="s">
        <v>62</v>
      </c>
      <c r="F113" t="str">
        <f>IF(I113="","",SUBSTITUTE(VLOOKUP(I113,event!E:F,2,0),"?",J113))</f>
        <v>自己即将受到“无法行动”效果</v>
      </c>
      <c r="G113" t="str">
        <f>IF(M113="","",SUBSTITUTE(VLOOKUP(M113,effect!B:E,4,0),"?",N113))</f>
        <v/>
      </c>
      <c r="H113" t="str">
        <f>SUBSTITUTE(VLOOKUP(O113,effect!B:E,4,0),"?",P113)</f>
        <v>自己不受该效果影响</v>
      </c>
      <c r="I113" t="s">
        <v>555</v>
      </c>
      <c r="O113" t="s">
        <v>356</v>
      </c>
      <c r="Q113" t="s">
        <v>182</v>
      </c>
      <c r="R113" t="s">
        <v>183</v>
      </c>
      <c r="S113" t="s">
        <v>184</v>
      </c>
      <c r="X113" t="s">
        <v>91</v>
      </c>
      <c r="Y113" t="s">
        <v>196</v>
      </c>
    </row>
    <row r="114" spans="1:26" x14ac:dyDescent="0.25">
      <c r="A114" s="3">
        <v>1082</v>
      </c>
      <c r="B114" t="s">
        <v>29</v>
      </c>
      <c r="C114" t="s">
        <v>65</v>
      </c>
      <c r="F114" t="str">
        <f>IF(I114="","",SUBSTITUTE(VLOOKUP(I114,event!E:F,2,0),"?",J114))</f>
        <v>自己即将受到普攻</v>
      </c>
      <c r="G114" t="str">
        <f>IF(M114="","",SUBSTITUTE(VLOOKUP(M114,effect!B:E,4,0),"?",N114))</f>
        <v>自己主动将此武器破坏</v>
      </c>
      <c r="H114" t="str">
        <f>SUBSTITUTE(VLOOKUP(O114,effect!B:E,4,0),"?",P114)</f>
        <v>自己格挡此次普攻</v>
      </c>
      <c r="I114" t="s">
        <v>217</v>
      </c>
      <c r="M114" t="s">
        <v>565</v>
      </c>
      <c r="O114" t="s">
        <v>491</v>
      </c>
      <c r="Q114" t="s">
        <v>181</v>
      </c>
      <c r="R114" t="s">
        <v>181</v>
      </c>
      <c r="S114" t="s">
        <v>181</v>
      </c>
    </row>
    <row r="115" spans="1:26" x14ac:dyDescent="0.25">
      <c r="A115" s="3">
        <v>1091</v>
      </c>
      <c r="B115" t="s">
        <v>29</v>
      </c>
      <c r="C115" t="s">
        <v>68</v>
      </c>
      <c r="F115" t="str">
        <f>IF(I115="","",SUBSTITUTE(VLOOKUP(I115,event!E:F,2,0),"?",J115))</f>
        <v/>
      </c>
      <c r="G115" t="str">
        <f>IF(M115="","",SUBSTITUTE(VLOOKUP(M115,effect!B:E,4,0),"?",N115))</f>
        <v/>
      </c>
      <c r="H115" t="str">
        <f>SUBSTITUTE(VLOOKUP(O115,effect!B:E,4,0),"?",P115)</f>
        <v>攻+2</v>
      </c>
      <c r="O115" t="s">
        <v>353</v>
      </c>
      <c r="P115">
        <v>2</v>
      </c>
      <c r="Q115" t="s">
        <v>182</v>
      </c>
      <c r="R115" t="s">
        <v>183</v>
      </c>
      <c r="S115" t="s">
        <v>181</v>
      </c>
      <c r="X115" t="s">
        <v>91</v>
      </c>
      <c r="Y115" t="s">
        <v>196</v>
      </c>
    </row>
    <row r="116" spans="1:26" x14ac:dyDescent="0.25">
      <c r="A116" s="3">
        <v>1092</v>
      </c>
      <c r="B116" t="s">
        <v>29</v>
      </c>
      <c r="C116" t="s">
        <v>66</v>
      </c>
      <c r="F116" t="str">
        <f>IF(I116="","",SUBSTITUTE(VLOOKUP(I116,event!E:F,2,0),"?",J116))</f>
        <v>自己发动普攻</v>
      </c>
      <c r="G116" t="str">
        <f>IF(M116="","",SUBSTITUTE(VLOOKUP(M116,effect!B:E,4,0),"?",N116))</f>
        <v/>
      </c>
      <c r="H116" t="str">
        <f>SUBSTITUTE(VLOOKUP(O116,effect!B:E,4,0),"?",P116)</f>
        <v>所有人随机刷新3手卡，卡堆最上方3张卡送入废卡区</v>
      </c>
      <c r="I116" t="s">
        <v>216</v>
      </c>
      <c r="O116" t="s">
        <v>448</v>
      </c>
      <c r="Q116" t="s">
        <v>182</v>
      </c>
      <c r="R116" t="s">
        <v>183</v>
      </c>
      <c r="S116" t="s">
        <v>184</v>
      </c>
      <c r="X116" t="s">
        <v>91</v>
      </c>
      <c r="Y116" t="s">
        <v>196</v>
      </c>
    </row>
    <row r="117" spans="1:26" x14ac:dyDescent="0.25">
      <c r="A117" s="3">
        <v>1093</v>
      </c>
      <c r="B117" t="s">
        <v>29</v>
      </c>
      <c r="C117" t="s">
        <v>67</v>
      </c>
      <c r="F117" t="str">
        <f>IF(I117="","",SUBSTITUTE(VLOOKUP(I117,event!E:F,2,0),"?",J117))</f>
        <v>自己回合自己未处于搏斗</v>
      </c>
      <c r="G117" t="str">
        <f>IF(M117="","",SUBSTITUTE(VLOOKUP(M117,effect!B:E,4,0),"?",N117))</f>
        <v>自己主动将此武器破坏</v>
      </c>
      <c r="H117" t="str">
        <f>SUBSTITUTE(VLOOKUP(O117,effect!B:E,4,0),"?",P117)</f>
        <v>自己指定1人伤2血，所有人随机刷新5手卡</v>
      </c>
      <c r="I117" t="s">
        <v>541</v>
      </c>
      <c r="M117" t="s">
        <v>565</v>
      </c>
      <c r="O117" t="s">
        <v>456</v>
      </c>
    </row>
    <row r="118" spans="1:26" x14ac:dyDescent="0.25">
      <c r="A118">
        <v>-123</v>
      </c>
      <c r="B118" t="s">
        <v>744</v>
      </c>
      <c r="C118" t="s">
        <v>713</v>
      </c>
      <c r="F118" t="str">
        <f>IF(I118="","",SUBSTITUTE(VLOOKUP(I118,event!E:F,2,0),"?",J118))</f>
        <v/>
      </c>
      <c r="G118" t="str">
        <f>IF(M118="","",SUBSTITUTE(VLOOKUP(M118,effect!B:E,4,0),"?",N118))</f>
        <v/>
      </c>
      <c r="H118" t="str">
        <f>SUBSTITUTE(VLOOKUP(O118,effect!B:E,4,0),"?",P118)</f>
        <v>呆呆木桩</v>
      </c>
      <c r="I118" t="s">
        <v>181</v>
      </c>
      <c r="O118" t="s">
        <v>714</v>
      </c>
      <c r="Q118" t="s">
        <v>71</v>
      </c>
      <c r="R118" t="s">
        <v>75</v>
      </c>
      <c r="X118" t="s">
        <v>91</v>
      </c>
      <c r="Y118" t="s">
        <v>745</v>
      </c>
    </row>
    <row r="119" spans="1:26" x14ac:dyDescent="0.25">
      <c r="A119">
        <v>100010</v>
      </c>
      <c r="B119" t="s">
        <v>819</v>
      </c>
      <c r="C119" t="s">
        <v>746</v>
      </c>
      <c r="D119" t="s">
        <v>747</v>
      </c>
      <c r="E119">
        <v>1</v>
      </c>
      <c r="F119" t="str">
        <f>IF(I119="","",SUBSTITUTE(VLOOKUP(I119,event!E:F,2,0),"?",J119))</f>
        <v/>
      </c>
      <c r="G119" t="str">
        <f>IF(M119="","",SUBSTITUTE(VLOOKUP(M119,effect!B:E,4,0),"?",N119))</f>
        <v/>
      </c>
      <c r="H119" t="str">
        <f>SUBSTITUTE(VLOOKUP(O119,effect!B:E,4,0),"?",P119)</f>
        <v>自己查看卡组最顶部2张卡</v>
      </c>
      <c r="I119" t="s">
        <v>181</v>
      </c>
      <c r="O119" t="s">
        <v>715</v>
      </c>
      <c r="P119">
        <v>2</v>
      </c>
      <c r="Q119" t="s">
        <v>182</v>
      </c>
      <c r="R119" t="s">
        <v>73</v>
      </c>
      <c r="S119" t="s">
        <v>73</v>
      </c>
      <c r="X119" t="s">
        <v>91</v>
      </c>
      <c r="Y119" t="s">
        <v>745</v>
      </c>
    </row>
    <row r="120" spans="1:26" x14ac:dyDescent="0.25">
      <c r="A120">
        <v>100020</v>
      </c>
      <c r="B120" t="s">
        <v>819</v>
      </c>
      <c r="C120" t="s">
        <v>748</v>
      </c>
      <c r="D120" t="s">
        <v>749</v>
      </c>
      <c r="E120">
        <v>1</v>
      </c>
      <c r="F120" t="str">
        <f>IF(I120="","",SUBSTITUTE(VLOOKUP(I120,event!E:F,2,0),"?",J120))</f>
        <v/>
      </c>
      <c r="G120" t="str">
        <f>IF(M120="","",SUBSTITUTE(VLOOKUP(M120,effect!B:E,4,0),"?",N120))</f>
        <v/>
      </c>
      <c r="H120" t="str">
        <f>SUBSTITUTE(VLOOKUP(O120,effect!B:E,4,0),"?",P120)</f>
        <v>自己血-2，自己攻+2，回合结束时恢复原状</v>
      </c>
      <c r="I120" t="s">
        <v>181</v>
      </c>
      <c r="O120" t="s">
        <v>721</v>
      </c>
      <c r="Q120" t="s">
        <v>71</v>
      </c>
      <c r="R120" t="s">
        <v>74</v>
      </c>
      <c r="S120" t="s">
        <v>73</v>
      </c>
      <c r="X120" t="s">
        <v>91</v>
      </c>
      <c r="Y120" t="s">
        <v>745</v>
      </c>
    </row>
    <row r="121" spans="1:26" x14ac:dyDescent="0.25">
      <c r="A121">
        <v>-100020</v>
      </c>
      <c r="B121" t="s">
        <v>94</v>
      </c>
      <c r="C121" t="s">
        <v>750</v>
      </c>
      <c r="F121" t="str">
        <f>IF(I121="","",SUBSTITUTE(VLOOKUP(I121,event!E:F,2,0),"?",J121))</f>
        <v>回合结束</v>
      </c>
      <c r="G121" t="str">
        <f>IF(M121="","",SUBSTITUTE(VLOOKUP(M121,effect!B:E,4,0),"?",N121))</f>
        <v/>
      </c>
      <c r="H121" t="str">
        <f>SUBSTITUTE(VLOOKUP(O121,effect!B:E,4,0),"?",P121)</f>
        <v>自己血+2，自己攻-2</v>
      </c>
      <c r="I121" t="s">
        <v>751</v>
      </c>
      <c r="O121" t="s">
        <v>722</v>
      </c>
      <c r="Q121" t="s">
        <v>71</v>
      </c>
      <c r="R121" t="s">
        <v>183</v>
      </c>
      <c r="S121" t="s">
        <v>184</v>
      </c>
      <c r="X121" t="s">
        <v>91</v>
      </c>
      <c r="Y121" t="s">
        <v>93</v>
      </c>
      <c r="Z121">
        <v>1</v>
      </c>
    </row>
    <row r="122" spans="1:26" x14ac:dyDescent="0.25">
      <c r="A122">
        <v>100030</v>
      </c>
      <c r="B122" t="s">
        <v>819</v>
      </c>
      <c r="C122" t="s">
        <v>752</v>
      </c>
      <c r="F122" t="str">
        <f>IF(I122="","",SUBSTITUTE(VLOOKUP(I122,event!E:F,2,0),"?",J122))</f>
        <v>自己丢卡</v>
      </c>
      <c r="G122" t="str">
        <f>IF(M122="","",SUBSTITUTE(VLOOKUP(M122,effect!B:E,4,0),"?",N122))</f>
        <v/>
      </c>
      <c r="H122" t="str">
        <f>SUBSTITUTE(VLOOKUP(O122,effect!B:E,4,0),"?",P122)</f>
        <v>自己回复1血</v>
      </c>
      <c r="I122" t="s">
        <v>753</v>
      </c>
      <c r="O122" t="s">
        <v>364</v>
      </c>
      <c r="P122">
        <v>1</v>
      </c>
      <c r="Q122" t="s">
        <v>182</v>
      </c>
      <c r="R122" t="s">
        <v>183</v>
      </c>
      <c r="S122" t="s">
        <v>184</v>
      </c>
      <c r="X122" t="s">
        <v>91</v>
      </c>
      <c r="Y122" t="s">
        <v>745</v>
      </c>
    </row>
    <row r="123" spans="1:26" x14ac:dyDescent="0.25">
      <c r="A123">
        <v>100040</v>
      </c>
      <c r="B123" t="s">
        <v>819</v>
      </c>
      <c r="C123" t="s">
        <v>754</v>
      </c>
      <c r="D123" t="s">
        <v>747</v>
      </c>
      <c r="E123">
        <v>1</v>
      </c>
      <c r="F123" t="str">
        <f>IF(I123="","",SUBSTITUTE(VLOOKUP(I123,event!E:F,2,0),"?",J123))</f>
        <v>自己即将受到普攻</v>
      </c>
      <c r="G123" t="str">
        <f>IF(M123="","",SUBSTITUTE(VLOOKUP(M123,effect!B:E,4,0),"?",N123))</f>
        <v/>
      </c>
      <c r="H123" t="str">
        <f>SUBSTITUTE(VLOOKUP(O123,effect!B:E,4,0),"?",P123)</f>
        <v>自己格挡此次普攻</v>
      </c>
      <c r="I123" t="s">
        <v>217</v>
      </c>
      <c r="O123" t="s">
        <v>365</v>
      </c>
      <c r="Q123" t="s">
        <v>182</v>
      </c>
      <c r="R123" t="s">
        <v>185</v>
      </c>
      <c r="S123" t="s">
        <v>755</v>
      </c>
      <c r="X123" t="s">
        <v>91</v>
      </c>
      <c r="Y123" t="s">
        <v>745</v>
      </c>
    </row>
    <row r="124" spans="1:26" x14ac:dyDescent="0.25">
      <c r="A124">
        <v>100050</v>
      </c>
      <c r="B124" t="s">
        <v>819</v>
      </c>
      <c r="C124" t="s">
        <v>756</v>
      </c>
      <c r="F124" t="str">
        <f>IF(I124="","",SUBSTITUTE(VLOOKUP(I124,event!E:F,2,0),"?",J124))</f>
        <v>每回合初</v>
      </c>
      <c r="G124" t="str">
        <f>IF(M124="","",SUBSTITUTE(VLOOKUP(M124,effect!B:E,4,0),"?",N124))</f>
        <v/>
      </c>
      <c r="H124" t="str">
        <f>SUBSTITUTE(VLOOKUP(O124,effect!B:E,4,0),"?",P124)</f>
        <v>自己随机查看1个对手张手卡</v>
      </c>
      <c r="I124" t="s">
        <v>757</v>
      </c>
      <c r="O124" t="s">
        <v>725</v>
      </c>
      <c r="Q124" t="s">
        <v>182</v>
      </c>
      <c r="R124" t="s">
        <v>183</v>
      </c>
      <c r="S124" t="s">
        <v>184</v>
      </c>
      <c r="X124" t="s">
        <v>91</v>
      </c>
      <c r="Y124" t="s">
        <v>745</v>
      </c>
    </row>
    <row r="125" spans="1:26" x14ac:dyDescent="0.25">
      <c r="A125">
        <v>100060</v>
      </c>
      <c r="B125" t="s">
        <v>819</v>
      </c>
      <c r="C125" t="s">
        <v>758</v>
      </c>
      <c r="D125" t="s">
        <v>747</v>
      </c>
      <c r="E125">
        <v>1</v>
      </c>
      <c r="F125" t="str">
        <f>IF(I125="","",SUBSTITUTE(VLOOKUP(I125,event!E:F,2,0),"?",J125))</f>
        <v>自己受到普攻</v>
      </c>
      <c r="G125" t="str">
        <f>IF(M125="","",SUBSTITUTE(VLOOKUP(M125,effect!B:E,4,0),"?",N125))</f>
        <v/>
      </c>
      <c r="H125" t="str">
        <f>SUBSTITUTE(VLOOKUP(O125,effect!B:E,4,0),"?",P125)</f>
        <v>自己格挡此次普攻</v>
      </c>
      <c r="I125" t="s">
        <v>218</v>
      </c>
      <c r="O125" t="s">
        <v>365</v>
      </c>
      <c r="Q125" t="s">
        <v>182</v>
      </c>
      <c r="R125" t="s">
        <v>185</v>
      </c>
      <c r="S125" t="s">
        <v>755</v>
      </c>
      <c r="X125" t="s">
        <v>91</v>
      </c>
      <c r="Y125" t="s">
        <v>745</v>
      </c>
    </row>
    <row r="126" spans="1:26" x14ac:dyDescent="0.25">
      <c r="A126">
        <v>100070</v>
      </c>
      <c r="B126" t="s">
        <v>819</v>
      </c>
      <c r="C126" t="s">
        <v>759</v>
      </c>
      <c r="D126" t="s">
        <v>749</v>
      </c>
      <c r="F126" t="str">
        <f>IF(I126="","",SUBSTITUTE(VLOOKUP(I126,event!E:F,2,0),"?",J126))</f>
        <v/>
      </c>
      <c r="G126" t="str">
        <f>IF(M126="","",SUBSTITUTE(VLOOKUP(M126,effect!B:E,4,0),"?",N126))</f>
        <v/>
      </c>
      <c r="H126" t="str">
        <f>SUBSTITUTE(VLOOKUP(O126,effect!B:E,4,0),"?",P126)</f>
        <v>自己指定1人伤1血</v>
      </c>
      <c r="I126" t="s">
        <v>181</v>
      </c>
      <c r="O126" t="s">
        <v>673</v>
      </c>
      <c r="P126">
        <v>1</v>
      </c>
      <c r="Q126" t="s">
        <v>182</v>
      </c>
      <c r="R126" t="s">
        <v>185</v>
      </c>
      <c r="S126" t="s">
        <v>755</v>
      </c>
      <c r="X126" t="s">
        <v>91</v>
      </c>
      <c r="Y126" t="s">
        <v>745</v>
      </c>
    </row>
    <row r="127" spans="1:26" x14ac:dyDescent="0.25">
      <c r="A127">
        <v>100080</v>
      </c>
      <c r="B127" t="s">
        <v>819</v>
      </c>
      <c r="C127" t="s">
        <v>760</v>
      </c>
      <c r="F127" t="str">
        <f>IF(I127="","",SUBSTITUTE(VLOOKUP(I127,event!E:F,2,0),"?",J127))</f>
        <v>自己装备武器</v>
      </c>
      <c r="G127" t="str">
        <f>IF(M127="","",SUBSTITUTE(VLOOKUP(M127,effect!B:E,4,0),"?",N127))</f>
        <v/>
      </c>
      <c r="H127" t="str">
        <f>SUBSTITUTE(VLOOKUP(O127,effect!B:E,4,0),"?",P127)</f>
        <v>根据自己装备武器数量每件让自己攻+1</v>
      </c>
      <c r="I127" t="s">
        <v>761</v>
      </c>
      <c r="O127" t="s">
        <v>726</v>
      </c>
      <c r="Q127" t="s">
        <v>182</v>
      </c>
      <c r="R127" t="s">
        <v>183</v>
      </c>
      <c r="S127" t="s">
        <v>184</v>
      </c>
      <c r="X127" t="s">
        <v>91</v>
      </c>
      <c r="Y127" t="s">
        <v>745</v>
      </c>
    </row>
    <row r="128" spans="1:26" x14ac:dyDescent="0.25">
      <c r="A128">
        <v>-100080</v>
      </c>
      <c r="B128" t="s">
        <v>94</v>
      </c>
      <c r="C128" t="s">
        <v>762</v>
      </c>
      <c r="F128" t="str">
        <f>IF(I128="","",SUBSTITUTE(VLOOKUP(I128,event!E:F,2,0),"?",J128))</f>
        <v/>
      </c>
      <c r="G128" t="str">
        <f>IF(M128="","",SUBSTITUTE(VLOOKUP(M128,effect!B:E,4,0),"?",N128))</f>
        <v/>
      </c>
      <c r="H128" t="str">
        <f>SUBSTITUTE(VLOOKUP(O128,effect!B:E,4,0),"?",P128)</f>
        <v>攻+</v>
      </c>
      <c r="O128" t="s">
        <v>353</v>
      </c>
      <c r="Q128" t="s">
        <v>182</v>
      </c>
      <c r="R128" t="s">
        <v>183</v>
      </c>
      <c r="X128" t="s">
        <v>98</v>
      </c>
      <c r="Y128" t="s">
        <v>745</v>
      </c>
    </row>
    <row r="129" spans="1:26" x14ac:dyDescent="0.25">
      <c r="A129">
        <v>100090</v>
      </c>
      <c r="B129" t="s">
        <v>819</v>
      </c>
      <c r="C129" t="s">
        <v>763</v>
      </c>
      <c r="D129" t="s">
        <v>747</v>
      </c>
      <c r="E129">
        <v>1</v>
      </c>
      <c r="F129" t="str">
        <f>IF(I129="","",SUBSTITUTE(VLOOKUP(I129,event!E:F,2,0),"?",J129))</f>
        <v>自己受到普攻</v>
      </c>
      <c r="G129" t="str">
        <f>IF(M129="","",SUBSTITUTE(VLOOKUP(M129,effect!B:E,4,0),"?",N129))</f>
        <v/>
      </c>
      <c r="H129" t="str">
        <f>SUBSTITUTE(VLOOKUP(O129,effect!B:E,4,0),"?",P129)</f>
        <v>自己躲避本次普攻</v>
      </c>
      <c r="I129" t="s">
        <v>218</v>
      </c>
      <c r="O129" t="s">
        <v>392</v>
      </c>
      <c r="Q129" t="s">
        <v>182</v>
      </c>
      <c r="R129" t="s">
        <v>185</v>
      </c>
      <c r="S129" t="s">
        <v>755</v>
      </c>
      <c r="X129" t="s">
        <v>91</v>
      </c>
      <c r="Y129" t="s">
        <v>745</v>
      </c>
    </row>
    <row r="130" spans="1:26" x14ac:dyDescent="0.25">
      <c r="A130">
        <v>100100</v>
      </c>
      <c r="B130" t="s">
        <v>819</v>
      </c>
      <c r="C130" t="s">
        <v>764</v>
      </c>
      <c r="F130" t="str">
        <f>IF(I130="","",SUBSTITUTE(VLOOKUP(I130,event!E:F,2,0),"?",J130))</f>
        <v>此回合自己尚未行动、自己受到普攻</v>
      </c>
      <c r="G130" t="str">
        <f>IF(M130="","",SUBSTITUTE(VLOOKUP(M130,effect!B:E,4,0),"?",N130))</f>
        <v/>
      </c>
      <c r="H130" t="str">
        <f>SUBSTITUTE(VLOOKUP(O130,effect!B:E,4,0),"?",P130)</f>
        <v>自己躲避本次普攻</v>
      </c>
      <c r="I130" t="s">
        <v>765</v>
      </c>
      <c r="O130" t="s">
        <v>392</v>
      </c>
      <c r="Q130" t="s">
        <v>182</v>
      </c>
      <c r="R130" t="s">
        <v>185</v>
      </c>
      <c r="S130" t="s">
        <v>755</v>
      </c>
      <c r="X130" t="s">
        <v>91</v>
      </c>
      <c r="Y130" t="s">
        <v>745</v>
      </c>
    </row>
    <row r="131" spans="1:26" x14ac:dyDescent="0.25">
      <c r="A131">
        <v>10000150</v>
      </c>
      <c r="B131" t="s">
        <v>766</v>
      </c>
      <c r="C131" t="s">
        <v>767</v>
      </c>
      <c r="F131" t="str">
        <f>IF(I131="","",SUBSTITUTE(VLOOKUP(I131,event!E:F,2,0),"?",J131))</f>
        <v>自己受到普攻</v>
      </c>
      <c r="G131" t="str">
        <f>IF(M131="","",SUBSTITUTE(VLOOKUP(M131,effect!B:E,4,0),"?",N131))</f>
        <v/>
      </c>
      <c r="H131" t="str">
        <f>SUBSTITUTE(VLOOKUP(O131,effect!B:E,4,0),"?",P131)</f>
        <v>自己使 目标 随机丢1卡</v>
      </c>
      <c r="I131" t="s">
        <v>218</v>
      </c>
      <c r="O131" t="s">
        <v>686</v>
      </c>
      <c r="P131">
        <v>1</v>
      </c>
      <c r="Q131" t="s">
        <v>182</v>
      </c>
      <c r="R131" t="s">
        <v>183</v>
      </c>
      <c r="S131" t="s">
        <v>184</v>
      </c>
      <c r="X131" t="s">
        <v>91</v>
      </c>
      <c r="Y131" t="s">
        <v>745</v>
      </c>
    </row>
    <row r="132" spans="1:26" x14ac:dyDescent="0.25">
      <c r="A132">
        <v>10000160</v>
      </c>
      <c r="B132" t="s">
        <v>766</v>
      </c>
      <c r="C132" t="s">
        <v>768</v>
      </c>
      <c r="F132" t="str">
        <f>IF(I132="","",SUBSTITUTE(VLOOKUP(I132,event!E:F,2,0),"?",J132))</f>
        <v/>
      </c>
      <c r="G132" t="str">
        <f>IF(M132="","",SUBSTITUTE(VLOOKUP(M132,effect!B:E,4,0),"?",N132))</f>
        <v>自己丢1手卡</v>
      </c>
      <c r="H132" t="str">
        <f>SUBSTITUTE(VLOOKUP(O132,effect!B:E,4,0),"?",P132)</f>
        <v>此回合自己每次受到普攻伤害，普攻者血-1</v>
      </c>
      <c r="I132" t="s">
        <v>181</v>
      </c>
      <c r="M132" t="s">
        <v>561</v>
      </c>
      <c r="N132">
        <v>1</v>
      </c>
      <c r="O132" t="s">
        <v>728</v>
      </c>
      <c r="Q132" t="s">
        <v>182</v>
      </c>
      <c r="R132" t="s">
        <v>74</v>
      </c>
      <c r="S132" t="s">
        <v>73</v>
      </c>
      <c r="X132" t="s">
        <v>91</v>
      </c>
      <c r="Y132" t="s">
        <v>745</v>
      </c>
    </row>
    <row r="133" spans="1:26" x14ac:dyDescent="0.25">
      <c r="A133">
        <v>10000170</v>
      </c>
      <c r="B133" t="s">
        <v>766</v>
      </c>
      <c r="C133" t="s">
        <v>769</v>
      </c>
      <c r="D133" t="s">
        <v>749</v>
      </c>
      <c r="F133" t="str">
        <f>IF(I133="","",SUBSTITUTE(VLOOKUP(I133,event!E:F,2,0),"?",J133))</f>
        <v>自己普攻成功</v>
      </c>
      <c r="G133" t="str">
        <f>IF(M133="","",SUBSTITUTE(VLOOKUP(M133,effect!B:E,4,0),"?",N133))</f>
        <v/>
      </c>
      <c r="H133" t="str">
        <f>SUBSTITUTE(VLOOKUP(O133,effect!B:E,4,0),"?",P133)</f>
        <v>自己丢1卡，被普攻者随机丢1卡</v>
      </c>
      <c r="I133" t="s">
        <v>537</v>
      </c>
      <c r="O133" t="s">
        <v>732</v>
      </c>
      <c r="Q133" t="s">
        <v>182</v>
      </c>
      <c r="R133" t="s">
        <v>185</v>
      </c>
      <c r="S133" t="s">
        <v>755</v>
      </c>
      <c r="X133" t="s">
        <v>91</v>
      </c>
      <c r="Y133" t="s">
        <v>745</v>
      </c>
    </row>
    <row r="134" spans="1:26" x14ac:dyDescent="0.25">
      <c r="A134">
        <v>10000240</v>
      </c>
      <c r="B134" t="s">
        <v>766</v>
      </c>
      <c r="C134" t="s">
        <v>770</v>
      </c>
      <c r="F134" t="str">
        <f>IF(I134="","",SUBSTITUTE(VLOOKUP(I134,event!E:F,2,0),"?",J134))</f>
        <v>自己未装备武器发动普攻</v>
      </c>
      <c r="G134" t="str">
        <f>IF(M134="","",SUBSTITUTE(VLOOKUP(M134,effect!B:E,4,0),"?",N134))</f>
        <v/>
      </c>
      <c r="H134" t="str">
        <f>SUBSTITUTE(VLOOKUP(O134,effect!B:E,4,0),"?",P134)</f>
        <v>此次普攻自己攻+1</v>
      </c>
      <c r="I134" t="s">
        <v>771</v>
      </c>
      <c r="O134" t="s">
        <v>733</v>
      </c>
      <c r="Q134" t="s">
        <v>182</v>
      </c>
      <c r="R134" t="s">
        <v>183</v>
      </c>
      <c r="S134" t="s">
        <v>184</v>
      </c>
      <c r="X134" t="s">
        <v>91</v>
      </c>
      <c r="Y134" t="s">
        <v>745</v>
      </c>
    </row>
    <row r="135" spans="1:26" x14ac:dyDescent="0.25">
      <c r="A135">
        <v>10000250</v>
      </c>
      <c r="B135" t="s">
        <v>766</v>
      </c>
      <c r="C135" t="s">
        <v>772</v>
      </c>
      <c r="F135" t="str">
        <f>IF(I135="","",SUBSTITUTE(VLOOKUP(I135,event!E:F,2,0),"?",J135))</f>
        <v>对手非回合制抽卡</v>
      </c>
      <c r="G135" t="str">
        <f>IF(M135="","",SUBSTITUTE(VLOOKUP(M135,effect!B:E,4,0),"?",N135))</f>
        <v/>
      </c>
      <c r="H135" t="str">
        <f>SUBSTITUTE(VLOOKUP(O135,effect!B:E,4,0),"?",P135)</f>
        <v>自己普攻 目标 1次</v>
      </c>
      <c r="I135" t="s">
        <v>773</v>
      </c>
      <c r="O135" t="s">
        <v>468</v>
      </c>
      <c r="Q135" t="s">
        <v>182</v>
      </c>
      <c r="R135" t="s">
        <v>185</v>
      </c>
      <c r="S135" t="s">
        <v>755</v>
      </c>
      <c r="X135" t="s">
        <v>91</v>
      </c>
      <c r="Y135" t="s">
        <v>745</v>
      </c>
    </row>
    <row r="136" spans="1:26" x14ac:dyDescent="0.25">
      <c r="A136">
        <v>10000260</v>
      </c>
      <c r="B136" t="s">
        <v>766</v>
      </c>
      <c r="C136" t="s">
        <v>774</v>
      </c>
      <c r="F136" t="str">
        <f>IF(I136="","",SUBSTITUTE(VLOOKUP(I136,event!E:F,2,0),"?",J136))</f>
        <v>自己受到普攻且自己手卡数量少于3张</v>
      </c>
      <c r="G136" t="str">
        <f>IF(M136="","",SUBSTITUTE(VLOOKUP(M136,effect!B:E,4,0),"?",N136))</f>
        <v/>
      </c>
      <c r="H136" t="str">
        <f>SUBSTITUTE(VLOOKUP(O136,effect!B:E,4,0),"?",P136)</f>
        <v>自己抽至手卡为4卡</v>
      </c>
      <c r="I136" t="s">
        <v>775</v>
      </c>
      <c r="O136" t="s">
        <v>734</v>
      </c>
      <c r="Q136" t="s">
        <v>182</v>
      </c>
      <c r="R136" t="s">
        <v>183</v>
      </c>
      <c r="S136" t="s">
        <v>184</v>
      </c>
      <c r="X136" t="s">
        <v>91</v>
      </c>
      <c r="Y136" t="s">
        <v>745</v>
      </c>
    </row>
    <row r="137" spans="1:26" x14ac:dyDescent="0.25">
      <c r="A137">
        <v>-20000000</v>
      </c>
      <c r="B137" t="s">
        <v>94</v>
      </c>
      <c r="C137" t="s">
        <v>776</v>
      </c>
      <c r="F137" t="str">
        <f>IF(I137="","",SUBSTITUTE(VLOOKUP(I137,event!E:F,2,0),"?",J137))</f>
        <v/>
      </c>
      <c r="G137" t="str">
        <f>IF(M137="","",SUBSTITUTE(VLOOKUP(M137,effect!B:E,4,0),"?",N137))</f>
        <v/>
      </c>
      <c r="H137" t="str">
        <f>SUBSTITUTE(VLOOKUP(O137,effect!B:E,4,0),"?",P137)</f>
        <v>攻+1</v>
      </c>
      <c r="O137" t="s">
        <v>353</v>
      </c>
      <c r="P137">
        <v>1</v>
      </c>
      <c r="Q137" t="s">
        <v>71</v>
      </c>
      <c r="R137" t="s">
        <v>183</v>
      </c>
      <c r="X137" t="s">
        <v>91</v>
      </c>
      <c r="Y137" t="s">
        <v>93</v>
      </c>
      <c r="Z137">
        <v>1</v>
      </c>
    </row>
    <row r="138" spans="1:26" x14ac:dyDescent="0.25">
      <c r="A138">
        <v>20000000</v>
      </c>
      <c r="B138" t="s">
        <v>819</v>
      </c>
      <c r="C138" t="s">
        <v>777</v>
      </c>
      <c r="D138" t="s">
        <v>54</v>
      </c>
      <c r="E138">
        <v>1</v>
      </c>
      <c r="F138" t="str">
        <f>IF(I138="","",SUBSTITUTE(VLOOKUP(I138,event!E:F,2,0),"?",J138))</f>
        <v>自己回合自己未处于搏斗</v>
      </c>
      <c r="G138" t="str">
        <f>IF(M138="","",SUBSTITUTE(VLOOKUP(M138,effect!B:E,4,0),"?",N138))</f>
        <v/>
      </c>
      <c r="H138" t="str">
        <f>SUBSTITUTE(VLOOKUP(O138,effect!B:E,4,0),"?",P138)</f>
        <v>自己发动1次普攻</v>
      </c>
      <c r="I138" t="s">
        <v>541</v>
      </c>
      <c r="O138" t="s">
        <v>366</v>
      </c>
      <c r="Q138" t="s">
        <v>182</v>
      </c>
      <c r="R138" t="s">
        <v>185</v>
      </c>
      <c r="S138" t="s">
        <v>73</v>
      </c>
      <c r="X138" t="s">
        <v>91</v>
      </c>
      <c r="Y138" t="s">
        <v>745</v>
      </c>
    </row>
    <row r="139" spans="1:26" x14ac:dyDescent="0.25">
      <c r="A139">
        <v>20000010</v>
      </c>
      <c r="B139" t="s">
        <v>819</v>
      </c>
      <c r="C139" t="s">
        <v>778</v>
      </c>
      <c r="D139" t="s">
        <v>747</v>
      </c>
      <c r="E139">
        <v>1</v>
      </c>
      <c r="F139" t="str">
        <f>IF(I139="","",SUBSTITUTE(VLOOKUP(I139,event!E:F,2,0),"?",J139))</f>
        <v>自己普攻成功</v>
      </c>
      <c r="G139" t="str">
        <f>IF(M139="","",SUBSTITUTE(VLOOKUP(M139,effect!B:E,4,0),"?",N139))</f>
        <v/>
      </c>
      <c r="H139" t="str">
        <f>SUBSTITUTE(VLOOKUP(O139,effect!B:E,4,0),"?",P139)</f>
        <v>自己普攻 目标 1次</v>
      </c>
      <c r="I139" t="s">
        <v>537</v>
      </c>
      <c r="O139" t="s">
        <v>468</v>
      </c>
      <c r="Q139" t="s">
        <v>182</v>
      </c>
      <c r="R139" t="s">
        <v>185</v>
      </c>
      <c r="S139" t="s">
        <v>755</v>
      </c>
      <c r="X139" t="s">
        <v>91</v>
      </c>
      <c r="Y139" t="s">
        <v>745</v>
      </c>
    </row>
    <row r="140" spans="1:26" x14ac:dyDescent="0.25">
      <c r="A140">
        <v>20000020</v>
      </c>
      <c r="B140" t="s">
        <v>819</v>
      </c>
      <c r="C140" t="s">
        <v>779</v>
      </c>
      <c r="D140" t="s">
        <v>747</v>
      </c>
      <c r="E140">
        <v>1</v>
      </c>
      <c r="F140" t="str">
        <f>IF(I140="","",SUBSTITUTE(VLOOKUP(I140,event!E:F,2,0),"?",J140))</f>
        <v>自己普攻失败</v>
      </c>
      <c r="G140" t="str">
        <f>IF(M140="","",SUBSTITUTE(VLOOKUP(M140,effect!B:E,4,0),"?",N140))</f>
        <v/>
      </c>
      <c r="H140" t="str">
        <f>SUBSTITUTE(VLOOKUP(O140,effect!B:E,4,0),"?",P140)</f>
        <v>自己普攻 目标 1次</v>
      </c>
      <c r="I140" t="s">
        <v>539</v>
      </c>
      <c r="O140" t="s">
        <v>468</v>
      </c>
      <c r="Q140" t="s">
        <v>182</v>
      </c>
      <c r="R140" t="s">
        <v>185</v>
      </c>
      <c r="S140" t="s">
        <v>755</v>
      </c>
      <c r="X140" t="s">
        <v>91</v>
      </c>
      <c r="Y140" t="s">
        <v>745</v>
      </c>
    </row>
    <row r="141" spans="1:26" x14ac:dyDescent="0.25">
      <c r="A141">
        <v>20000040</v>
      </c>
      <c r="B141" t="s">
        <v>819</v>
      </c>
      <c r="C141" t="s">
        <v>780</v>
      </c>
      <c r="D141" t="s">
        <v>747</v>
      </c>
      <c r="E141">
        <v>1</v>
      </c>
      <c r="F141" t="str">
        <f>IF(I141="","",SUBSTITUTE(VLOOKUP(I141,event!E:F,2,0),"?",J141))</f>
        <v>自己普攻被格挡</v>
      </c>
      <c r="G141" t="str">
        <f>IF(M141="","",SUBSTITUTE(VLOOKUP(M141,effect!B:E,4,0),"?",N141))</f>
        <v/>
      </c>
      <c r="H141" t="str">
        <f>SUBSTITUTE(VLOOKUP(O141,effect!B:E,4,0),"?",P141)</f>
        <v>自己普攻 目标 1次</v>
      </c>
      <c r="I141" t="s">
        <v>781</v>
      </c>
      <c r="O141" t="s">
        <v>468</v>
      </c>
      <c r="Q141" t="s">
        <v>182</v>
      </c>
      <c r="R141" t="s">
        <v>185</v>
      </c>
      <c r="S141" t="s">
        <v>755</v>
      </c>
      <c r="X141" t="s">
        <v>91</v>
      </c>
      <c r="Y141" t="s">
        <v>745</v>
      </c>
    </row>
    <row r="142" spans="1:26" x14ac:dyDescent="0.25">
      <c r="A142">
        <v>20000050</v>
      </c>
      <c r="B142" t="s">
        <v>819</v>
      </c>
      <c r="C142" t="s">
        <v>782</v>
      </c>
      <c r="D142" t="s">
        <v>747</v>
      </c>
      <c r="E142">
        <v>1</v>
      </c>
      <c r="F142" t="str">
        <f>IF(I142="","",SUBSTITUTE(VLOOKUP(I142,event!E:F,2,0),"?",J142))</f>
        <v>自己普攻被躲避</v>
      </c>
      <c r="G142" t="str">
        <f>IF(M142="","",SUBSTITUTE(VLOOKUP(M142,effect!B:E,4,0),"?",N142))</f>
        <v/>
      </c>
      <c r="H142" t="str">
        <f>SUBSTITUTE(VLOOKUP(O142,effect!B:E,4,0),"?",P142)</f>
        <v>自己普攻 目标 1次</v>
      </c>
      <c r="I142" t="s">
        <v>783</v>
      </c>
      <c r="O142" t="s">
        <v>468</v>
      </c>
      <c r="Q142" t="s">
        <v>182</v>
      </c>
      <c r="R142" t="s">
        <v>185</v>
      </c>
      <c r="S142" t="s">
        <v>755</v>
      </c>
      <c r="X142" t="s">
        <v>91</v>
      </c>
      <c r="Y142" t="s">
        <v>745</v>
      </c>
    </row>
    <row r="143" spans="1:26" x14ac:dyDescent="0.25">
      <c r="A143">
        <v>20000060</v>
      </c>
      <c r="B143" t="s">
        <v>819</v>
      </c>
      <c r="C143" t="s">
        <v>784</v>
      </c>
      <c r="F143" t="str">
        <f>IF(I143="","",SUBSTITUTE(VLOOKUP(I143,event!E:F,2,0),"?",J143))</f>
        <v>自己发动普攻</v>
      </c>
      <c r="G143" t="str">
        <f>IF(M143="","",SUBSTITUTE(VLOOKUP(M143,effect!B:E,4,0),"?",N143))</f>
        <v/>
      </c>
      <c r="H143" t="str">
        <f>SUBSTITUTE(VLOOKUP(O143,effect!B:E,4,0),"?",P143)</f>
        <v>此次普攻自己攻+1</v>
      </c>
      <c r="I143" t="s">
        <v>216</v>
      </c>
      <c r="O143" t="s">
        <v>738</v>
      </c>
      <c r="Q143" t="s">
        <v>182</v>
      </c>
      <c r="R143" t="s">
        <v>183</v>
      </c>
      <c r="S143" t="s">
        <v>184</v>
      </c>
      <c r="X143" t="s">
        <v>91</v>
      </c>
      <c r="Y143" t="s">
        <v>745</v>
      </c>
    </row>
    <row r="144" spans="1:26" x14ac:dyDescent="0.25">
      <c r="A144">
        <v>-20000060</v>
      </c>
      <c r="B144" t="s">
        <v>94</v>
      </c>
      <c r="C144" t="s">
        <v>785</v>
      </c>
      <c r="F144" t="str">
        <f>IF(I144="","",SUBSTITUTE(VLOOKUP(I144,event!E:F,2,0),"?",J144))</f>
        <v/>
      </c>
      <c r="G144" t="str">
        <f>IF(M144="","",SUBSTITUTE(VLOOKUP(M144,effect!B:E,4,0),"?",N144))</f>
        <v/>
      </c>
      <c r="H144" t="str">
        <f>SUBSTITUTE(VLOOKUP(O144,effect!B:E,4,0),"?",P144)</f>
        <v>攻+1</v>
      </c>
      <c r="O144" t="s">
        <v>353</v>
      </c>
      <c r="P144">
        <v>1</v>
      </c>
      <c r="Q144" t="s">
        <v>182</v>
      </c>
      <c r="R144" t="s">
        <v>183</v>
      </c>
      <c r="X144" t="s">
        <v>91</v>
      </c>
      <c r="Y144" t="s">
        <v>106</v>
      </c>
    </row>
    <row r="145" spans="1:25" x14ac:dyDescent="0.25">
      <c r="A145">
        <v>20000070</v>
      </c>
      <c r="B145" t="s">
        <v>819</v>
      </c>
      <c r="C145" t="s">
        <v>786</v>
      </c>
      <c r="F145" t="str">
        <f>IF(I145="","",SUBSTITUTE(VLOOKUP(I145,event!E:F,2,0),"?",J145))</f>
        <v>自己发动普攻</v>
      </c>
      <c r="G145" t="str">
        <f>IF(M145="","",SUBSTITUTE(VLOOKUP(M145,effect!B:E,4,0),"?",N145))</f>
        <v/>
      </c>
      <c r="H145" t="str">
        <f>SUBSTITUTE(VLOOKUP(O145,effect!B:E,4,0),"?",P145)</f>
        <v>自己使 目标 随机丢1卡</v>
      </c>
      <c r="I145" t="s">
        <v>216</v>
      </c>
      <c r="O145" t="s">
        <v>686</v>
      </c>
      <c r="P145">
        <v>1</v>
      </c>
      <c r="Q145" t="s">
        <v>182</v>
      </c>
      <c r="R145" t="s">
        <v>183</v>
      </c>
      <c r="S145" t="s">
        <v>184</v>
      </c>
      <c r="X145" t="s">
        <v>91</v>
      </c>
      <c r="Y145" t="s">
        <v>745</v>
      </c>
    </row>
    <row r="146" spans="1:25" x14ac:dyDescent="0.25">
      <c r="A146">
        <v>20000080</v>
      </c>
      <c r="B146" t="s">
        <v>819</v>
      </c>
      <c r="C146" t="s">
        <v>787</v>
      </c>
      <c r="F146" t="str">
        <f>IF(I146="","",SUBSTITUTE(VLOOKUP(I146,event!E:F,2,0),"?",J146))</f>
        <v>自己发动普攻</v>
      </c>
      <c r="G146" t="str">
        <f>IF(M146="","",SUBSTITUTE(VLOOKUP(M146,effect!B:E,4,0),"?",N146))</f>
        <v/>
      </c>
      <c r="H146" t="str">
        <f>SUBSTITUTE(VLOOKUP(O146,effect!B:E,4,0),"?",P146)</f>
        <v>自己抽1卡</v>
      </c>
      <c r="I146" t="s">
        <v>216</v>
      </c>
      <c r="O146" t="s">
        <v>369</v>
      </c>
      <c r="P146">
        <v>1</v>
      </c>
      <c r="Q146" t="s">
        <v>182</v>
      </c>
      <c r="R146" t="s">
        <v>183</v>
      </c>
      <c r="S146" t="s">
        <v>184</v>
      </c>
      <c r="X146" t="s">
        <v>91</v>
      </c>
      <c r="Y146" t="s">
        <v>745</v>
      </c>
    </row>
    <row r="147" spans="1:25" x14ac:dyDescent="0.25">
      <c r="A147">
        <v>20000090</v>
      </c>
      <c r="B147" t="s">
        <v>819</v>
      </c>
      <c r="C147" t="s">
        <v>788</v>
      </c>
      <c r="F147" t="str">
        <f>IF(I147="","",SUBSTITUTE(VLOOKUP(I147,event!E:F,2,0),"?",J147))</f>
        <v>自己发动普攻</v>
      </c>
      <c r="G147" t="str">
        <f>IF(M147="","",SUBSTITUTE(VLOOKUP(M147,effect!B:E,4,0),"?",N147))</f>
        <v/>
      </c>
      <c r="H147" t="str">
        <f>SUBSTITUTE(VLOOKUP(O147,effect!B:E,4,0),"?",P147)</f>
        <v>卡堆最上方1张卡送入废卡区</v>
      </c>
      <c r="I147" t="s">
        <v>216</v>
      </c>
      <c r="O147" t="s">
        <v>377</v>
      </c>
      <c r="P147">
        <v>1</v>
      </c>
      <c r="Q147" t="s">
        <v>182</v>
      </c>
      <c r="R147" t="s">
        <v>183</v>
      </c>
      <c r="S147" t="s">
        <v>184</v>
      </c>
      <c r="X147" t="s">
        <v>91</v>
      </c>
      <c r="Y147" t="s">
        <v>745</v>
      </c>
    </row>
    <row r="148" spans="1:25" x14ac:dyDescent="0.25">
      <c r="A148">
        <v>20000100</v>
      </c>
      <c r="B148" t="s">
        <v>819</v>
      </c>
      <c r="C148" t="s">
        <v>789</v>
      </c>
      <c r="F148" t="str">
        <f>IF(I148="","",SUBSTITUTE(VLOOKUP(I148,event!E:F,2,0),"?",J148))</f>
        <v>自己普攻成功</v>
      </c>
      <c r="G148" t="str">
        <f>IF(M148="","",SUBSTITUTE(VLOOKUP(M148,effect!B:E,4,0),"?",N148))</f>
        <v/>
      </c>
      <c r="H148" t="str">
        <f>SUBSTITUTE(VLOOKUP(O148,effect!B:E,4,0),"?",P148)</f>
        <v>自己使 目标 随机丢1卡</v>
      </c>
      <c r="I148" t="s">
        <v>537</v>
      </c>
      <c r="O148" t="s">
        <v>686</v>
      </c>
      <c r="P148">
        <v>1</v>
      </c>
      <c r="Q148" t="s">
        <v>182</v>
      </c>
      <c r="R148" t="s">
        <v>183</v>
      </c>
      <c r="S148" t="s">
        <v>184</v>
      </c>
      <c r="X148" t="s">
        <v>91</v>
      </c>
      <c r="Y148" t="s">
        <v>745</v>
      </c>
    </row>
    <row r="149" spans="1:25" x14ac:dyDescent="0.25">
      <c r="A149">
        <v>20000110</v>
      </c>
      <c r="B149" t="s">
        <v>819</v>
      </c>
      <c r="C149" t="s">
        <v>790</v>
      </c>
      <c r="F149" t="str">
        <f>IF(I149="","",SUBSTITUTE(VLOOKUP(I149,event!E:F,2,0),"?",J149))</f>
        <v>自己普攻成功</v>
      </c>
      <c r="G149" t="str">
        <f>IF(M149="","",SUBSTITUTE(VLOOKUP(M149,effect!B:E,4,0),"?",N149))</f>
        <v/>
      </c>
      <c r="H149" t="str">
        <f>SUBSTITUTE(VLOOKUP(O149,effect!B:E,4,0),"?",P149)</f>
        <v>自己抽1卡</v>
      </c>
      <c r="I149" t="s">
        <v>537</v>
      </c>
      <c r="O149" t="s">
        <v>369</v>
      </c>
      <c r="P149">
        <v>1</v>
      </c>
      <c r="Q149" t="s">
        <v>182</v>
      </c>
      <c r="R149" t="s">
        <v>183</v>
      </c>
      <c r="S149" t="s">
        <v>184</v>
      </c>
      <c r="X149" t="s">
        <v>91</v>
      </c>
      <c r="Y149" t="s">
        <v>745</v>
      </c>
    </row>
    <row r="150" spans="1:25" x14ac:dyDescent="0.25">
      <c r="A150">
        <v>20000120</v>
      </c>
      <c r="B150" t="s">
        <v>819</v>
      </c>
      <c r="C150" t="s">
        <v>791</v>
      </c>
      <c r="F150" t="str">
        <f>IF(I150="","",SUBSTITUTE(VLOOKUP(I150,event!E:F,2,0),"?",J150))</f>
        <v>自己普攻成功</v>
      </c>
      <c r="G150" t="str">
        <f>IF(M150="","",SUBSTITUTE(VLOOKUP(M150,effect!B:E,4,0),"?",N150))</f>
        <v/>
      </c>
      <c r="H150" t="str">
        <f>SUBSTITUTE(VLOOKUP(O150,effect!B:E,4,0),"?",P150)</f>
        <v>自己回复1血</v>
      </c>
      <c r="I150" t="s">
        <v>537</v>
      </c>
      <c r="O150" t="s">
        <v>364</v>
      </c>
      <c r="P150">
        <v>1</v>
      </c>
      <c r="Q150" t="s">
        <v>182</v>
      </c>
      <c r="R150" t="s">
        <v>183</v>
      </c>
      <c r="S150" t="s">
        <v>184</v>
      </c>
      <c r="X150" t="s">
        <v>91</v>
      </c>
      <c r="Y150" t="s">
        <v>745</v>
      </c>
    </row>
    <row r="151" spans="1:25" x14ac:dyDescent="0.25">
      <c r="A151">
        <v>20000130</v>
      </c>
      <c r="B151" t="s">
        <v>819</v>
      </c>
      <c r="C151" t="s">
        <v>792</v>
      </c>
      <c r="F151" t="str">
        <f>IF(I151="","",SUBSTITUTE(VLOOKUP(I151,event!E:F,2,0),"?",J151))</f>
        <v>自己普攻成功</v>
      </c>
      <c r="G151" t="str">
        <f>IF(M151="","",SUBSTITUTE(VLOOKUP(M151,effect!B:E,4,0),"?",N151))</f>
        <v/>
      </c>
      <c r="H151" t="str">
        <f>SUBSTITUTE(VLOOKUP(O151,effect!B:E,4,0),"?",P151)</f>
        <v>自己使 目标 伤1血</v>
      </c>
      <c r="I151" t="s">
        <v>537</v>
      </c>
      <c r="O151" t="s">
        <v>380</v>
      </c>
      <c r="P151">
        <v>1</v>
      </c>
      <c r="Q151" t="s">
        <v>182</v>
      </c>
      <c r="R151" t="s">
        <v>183</v>
      </c>
      <c r="S151" t="s">
        <v>184</v>
      </c>
      <c r="X151" t="s">
        <v>91</v>
      </c>
      <c r="Y151" t="s">
        <v>745</v>
      </c>
    </row>
    <row r="152" spans="1:25" x14ac:dyDescent="0.25">
      <c r="A152">
        <v>20000140</v>
      </c>
      <c r="B152" t="s">
        <v>819</v>
      </c>
      <c r="C152" t="s">
        <v>793</v>
      </c>
      <c r="F152" t="str">
        <f>IF(I152="","",SUBSTITUTE(VLOOKUP(I152,event!E:F,2,0),"?",J152))</f>
        <v>自己抽卡</v>
      </c>
      <c r="G152" t="str">
        <f>IF(M152="","",SUBSTITUTE(VLOOKUP(M152,effect!B:E,4,0),"?",N152))</f>
        <v/>
      </c>
      <c r="H152" t="str">
        <f>SUBSTITUTE(VLOOKUP(O152,effect!B:E,4,0),"?",P152)</f>
        <v>自己回复1血</v>
      </c>
      <c r="I152" t="s">
        <v>551</v>
      </c>
      <c r="O152" t="s">
        <v>364</v>
      </c>
      <c r="P152">
        <v>1</v>
      </c>
      <c r="Q152" t="s">
        <v>182</v>
      </c>
      <c r="R152" t="s">
        <v>183</v>
      </c>
      <c r="S152" t="s">
        <v>184</v>
      </c>
      <c r="X152" t="s">
        <v>91</v>
      </c>
      <c r="Y152" t="s">
        <v>745</v>
      </c>
    </row>
    <row r="153" spans="1:25" x14ac:dyDescent="0.25">
      <c r="A153">
        <v>20000150</v>
      </c>
      <c r="B153" t="s">
        <v>819</v>
      </c>
      <c r="C153" t="s">
        <v>794</v>
      </c>
      <c r="F153" t="str">
        <f>IF(I153="","",SUBSTITUTE(VLOOKUP(I153,event!E:F,2,0),"?",J153))</f>
        <v>自己抽卡</v>
      </c>
      <c r="G153" t="str">
        <f>IF(M153="","",SUBSTITUTE(VLOOKUP(M153,effect!B:E,4,0),"?",N153))</f>
        <v/>
      </c>
      <c r="H153" t="str">
        <f>SUBSTITUTE(VLOOKUP(O153,effect!B:E,4,0),"?",P153)</f>
        <v>此回合自己攻+1</v>
      </c>
      <c r="I153" t="s">
        <v>551</v>
      </c>
      <c r="O153" t="s">
        <v>739</v>
      </c>
      <c r="Q153" t="s">
        <v>182</v>
      </c>
      <c r="R153" t="s">
        <v>183</v>
      </c>
      <c r="S153" t="s">
        <v>184</v>
      </c>
      <c r="X153" t="s">
        <v>91</v>
      </c>
      <c r="Y153" t="s">
        <v>745</v>
      </c>
    </row>
    <row r="154" spans="1:25" x14ac:dyDescent="0.25">
      <c r="A154">
        <v>20000160</v>
      </c>
      <c r="B154" t="s">
        <v>819</v>
      </c>
      <c r="C154" t="s">
        <v>795</v>
      </c>
      <c r="D154" t="s">
        <v>747</v>
      </c>
      <c r="E154">
        <v>1</v>
      </c>
      <c r="F154" t="str">
        <f>IF(I154="","",SUBSTITUTE(VLOOKUP(I154,event!E:F,2,0),"?",J154))</f>
        <v>自己抽卡</v>
      </c>
      <c r="G154" t="str">
        <f>IF(M154="","",SUBSTITUTE(VLOOKUP(M154,effect!B:E,4,0),"?",N154))</f>
        <v/>
      </c>
      <c r="H154" t="str">
        <f>SUBSTITUTE(VLOOKUP(O154,effect!B:E,4,0),"?",P154)</f>
        <v>自己抽1卡</v>
      </c>
      <c r="I154" t="s">
        <v>551</v>
      </c>
      <c r="O154" t="s">
        <v>369</v>
      </c>
      <c r="P154">
        <v>1</v>
      </c>
      <c r="Q154" t="s">
        <v>182</v>
      </c>
      <c r="R154" t="s">
        <v>185</v>
      </c>
      <c r="S154" t="s">
        <v>755</v>
      </c>
      <c r="X154" t="s">
        <v>91</v>
      </c>
      <c r="Y154" t="s">
        <v>745</v>
      </c>
    </row>
    <row r="155" spans="1:25" x14ac:dyDescent="0.25">
      <c r="A155">
        <v>20000170</v>
      </c>
      <c r="B155" t="s">
        <v>819</v>
      </c>
      <c r="C155" t="s">
        <v>796</v>
      </c>
      <c r="D155" t="s">
        <v>747</v>
      </c>
      <c r="E155">
        <v>1</v>
      </c>
      <c r="F155" t="str">
        <f>IF(I155="","",SUBSTITUTE(VLOOKUP(I155,event!E:F,2,0),"?",J155))</f>
        <v>自己抽卡</v>
      </c>
      <c r="G155" t="str">
        <f>IF(M155="","",SUBSTITUTE(VLOOKUP(M155,effect!B:E,4,0),"?",N155))</f>
        <v/>
      </c>
      <c r="H155" t="str">
        <f>SUBSTITUTE(VLOOKUP(O155,effect!B:E,4,0),"?",P155)</f>
        <v>自己指定1人随机丢1卡</v>
      </c>
      <c r="I155" t="s">
        <v>551</v>
      </c>
      <c r="O155" t="s">
        <v>741</v>
      </c>
      <c r="P155">
        <v>1</v>
      </c>
      <c r="Q155" t="s">
        <v>182</v>
      </c>
      <c r="R155" t="s">
        <v>185</v>
      </c>
      <c r="S155" t="s">
        <v>755</v>
      </c>
      <c r="X155" t="s">
        <v>91</v>
      </c>
      <c r="Y155" t="s">
        <v>745</v>
      </c>
    </row>
    <row r="156" spans="1:25" x14ac:dyDescent="0.25">
      <c r="A156">
        <v>20000180</v>
      </c>
      <c r="B156" t="s">
        <v>819</v>
      </c>
      <c r="C156" t="s">
        <v>797</v>
      </c>
      <c r="D156" t="s">
        <v>747</v>
      </c>
      <c r="E156">
        <v>1</v>
      </c>
      <c r="F156" t="str">
        <f>IF(I156="","",SUBSTITUTE(VLOOKUP(I156,event!E:F,2,0),"?",J156))</f>
        <v>自己抽卡</v>
      </c>
      <c r="G156" t="str">
        <f>IF(M156="","",SUBSTITUTE(VLOOKUP(M156,effect!B:E,4,0),"?",N156))</f>
        <v/>
      </c>
      <c r="H156" t="str">
        <f>SUBSTITUTE(VLOOKUP(O156,effect!B:E,4,0),"?",P156)</f>
        <v>自己查看卡组最顶部1张卡</v>
      </c>
      <c r="I156" t="s">
        <v>551</v>
      </c>
      <c r="O156" t="s">
        <v>715</v>
      </c>
      <c r="P156">
        <v>1</v>
      </c>
      <c r="Q156" t="s">
        <v>182</v>
      </c>
      <c r="R156" t="s">
        <v>185</v>
      </c>
      <c r="S156" t="s">
        <v>755</v>
      </c>
      <c r="X156" t="s">
        <v>91</v>
      </c>
      <c r="Y156" t="s">
        <v>745</v>
      </c>
    </row>
    <row r="157" spans="1:25" x14ac:dyDescent="0.25">
      <c r="A157">
        <v>20000190</v>
      </c>
      <c r="B157" t="s">
        <v>819</v>
      </c>
      <c r="C157" t="s">
        <v>798</v>
      </c>
      <c r="D157" t="s">
        <v>747</v>
      </c>
      <c r="E157">
        <v>1</v>
      </c>
      <c r="F157" t="str">
        <f>IF(I157="","",SUBSTITUTE(VLOOKUP(I157,event!E:F,2,0),"?",J157))</f>
        <v>自己抽卡</v>
      </c>
      <c r="G157" t="str">
        <f>IF(M157="","",SUBSTITUTE(VLOOKUP(M157,effect!B:E,4,0),"?",N157))</f>
        <v/>
      </c>
      <c r="H157" t="str">
        <f>SUBSTITUTE(VLOOKUP(O157,effect!B:E,4,0),"?",P157)</f>
        <v>自己指定1人伤1血</v>
      </c>
      <c r="I157" t="s">
        <v>551</v>
      </c>
      <c r="O157" t="s">
        <v>673</v>
      </c>
      <c r="P157">
        <v>1</v>
      </c>
      <c r="Q157" t="s">
        <v>182</v>
      </c>
      <c r="R157" t="s">
        <v>185</v>
      </c>
      <c r="S157" t="s">
        <v>755</v>
      </c>
      <c r="X157" t="s">
        <v>91</v>
      </c>
      <c r="Y157" t="s">
        <v>745</v>
      </c>
    </row>
    <row r="158" spans="1:25" x14ac:dyDescent="0.25">
      <c r="A158">
        <v>20000200</v>
      </c>
      <c r="B158" t="s">
        <v>819</v>
      </c>
      <c r="C158" t="s">
        <v>799</v>
      </c>
      <c r="D158" t="s">
        <v>747</v>
      </c>
      <c r="E158">
        <v>1</v>
      </c>
      <c r="F158" t="str">
        <f>IF(I158="","",SUBSTITUTE(VLOOKUP(I158,event!E:F,2,0),"?",J158))</f>
        <v>自己抽卡</v>
      </c>
      <c r="G158" t="str">
        <f>IF(M158="","",SUBSTITUTE(VLOOKUP(M158,effect!B:E,4,0),"?",N158))</f>
        <v/>
      </c>
      <c r="H158" t="str">
        <f>SUBSTITUTE(VLOOKUP(O158,effect!B:E,4,0),"?",P158)</f>
        <v>自己回复1血</v>
      </c>
      <c r="I158" t="s">
        <v>551</v>
      </c>
      <c r="O158" t="s">
        <v>364</v>
      </c>
      <c r="P158">
        <v>1</v>
      </c>
      <c r="Q158" t="s">
        <v>182</v>
      </c>
      <c r="R158" t="s">
        <v>185</v>
      </c>
      <c r="S158" t="s">
        <v>755</v>
      </c>
      <c r="X158" t="s">
        <v>91</v>
      </c>
      <c r="Y158" t="s">
        <v>745</v>
      </c>
    </row>
    <row r="159" spans="1:25" x14ac:dyDescent="0.25">
      <c r="A159">
        <v>20000210</v>
      </c>
      <c r="B159" t="s">
        <v>819</v>
      </c>
      <c r="C159" t="s">
        <v>800</v>
      </c>
      <c r="D159" t="s">
        <v>747</v>
      </c>
      <c r="E159">
        <v>1</v>
      </c>
      <c r="F159" t="str">
        <f>IF(I159="","",SUBSTITUTE(VLOOKUP(I159,event!E:F,2,0),"?",J159))</f>
        <v>自己受到普攻</v>
      </c>
      <c r="G159" t="str">
        <f>IF(M159="","",SUBSTITUTE(VLOOKUP(M159,effect!B:E,4,0),"?",N159))</f>
        <v/>
      </c>
      <c r="H159" t="str">
        <f>SUBSTITUTE(VLOOKUP(O159,effect!B:E,4,0),"?",P159)</f>
        <v>自己抽1卡</v>
      </c>
      <c r="I159" t="s">
        <v>218</v>
      </c>
      <c r="O159" t="s">
        <v>369</v>
      </c>
      <c r="P159">
        <v>1</v>
      </c>
      <c r="Q159" t="s">
        <v>182</v>
      </c>
      <c r="R159" t="s">
        <v>185</v>
      </c>
      <c r="S159" t="s">
        <v>755</v>
      </c>
      <c r="X159" t="s">
        <v>91</v>
      </c>
      <c r="Y159" t="s">
        <v>745</v>
      </c>
    </row>
    <row r="160" spans="1:25" x14ac:dyDescent="0.25">
      <c r="A160">
        <v>20000220</v>
      </c>
      <c r="B160" t="s">
        <v>819</v>
      </c>
      <c r="C160" t="s">
        <v>801</v>
      </c>
      <c r="D160" t="s">
        <v>747</v>
      </c>
      <c r="E160">
        <v>1</v>
      </c>
      <c r="F160" t="str">
        <f>IF(I160="","",SUBSTITUTE(VLOOKUP(I160,event!E:F,2,0),"?",J160))</f>
        <v>自己受到普攻</v>
      </c>
      <c r="G160" t="str">
        <f>IF(M160="","",SUBSTITUTE(VLOOKUP(M160,effect!B:E,4,0),"?",N160))</f>
        <v/>
      </c>
      <c r="H160" t="str">
        <f>SUBSTITUTE(VLOOKUP(O160,effect!B:E,4,0),"?",P160)</f>
        <v>自己使 目标 随机丢1卡</v>
      </c>
      <c r="I160" t="s">
        <v>218</v>
      </c>
      <c r="O160" t="s">
        <v>685</v>
      </c>
      <c r="P160">
        <v>1</v>
      </c>
      <c r="Q160" t="s">
        <v>182</v>
      </c>
      <c r="R160" t="s">
        <v>185</v>
      </c>
      <c r="S160" t="s">
        <v>755</v>
      </c>
      <c r="X160" t="s">
        <v>91</v>
      </c>
      <c r="Y160" t="s">
        <v>745</v>
      </c>
    </row>
    <row r="161" spans="1:25" x14ac:dyDescent="0.25">
      <c r="A161">
        <v>20000230</v>
      </c>
      <c r="B161" t="s">
        <v>819</v>
      </c>
      <c r="C161" t="s">
        <v>802</v>
      </c>
      <c r="F161" t="str">
        <f>IF(I161="","",SUBSTITUTE(VLOOKUP(I161,event!E:F,2,0),"?",J161))</f>
        <v>自己受到普攻</v>
      </c>
      <c r="G161" t="str">
        <f>IF(M161="","",SUBSTITUTE(VLOOKUP(M161,effect!B:E,4,0),"?",N161))</f>
        <v/>
      </c>
      <c r="H161" t="str">
        <f>SUBSTITUTE(VLOOKUP(O161,effect!B:E,4,0),"?",P161)</f>
        <v>此回合自己攻+1</v>
      </c>
      <c r="I161" t="s">
        <v>218</v>
      </c>
      <c r="O161" t="s">
        <v>739</v>
      </c>
      <c r="P161">
        <v>1</v>
      </c>
      <c r="Q161" t="s">
        <v>182</v>
      </c>
      <c r="R161" t="s">
        <v>821</v>
      </c>
      <c r="S161" t="s">
        <v>822</v>
      </c>
      <c r="X161" t="s">
        <v>91</v>
      </c>
      <c r="Y161" t="s">
        <v>745</v>
      </c>
    </row>
    <row r="162" spans="1:25" x14ac:dyDescent="0.25">
      <c r="A162">
        <v>20000240</v>
      </c>
      <c r="B162" t="s">
        <v>819</v>
      </c>
      <c r="C162" t="s">
        <v>803</v>
      </c>
      <c r="F162" t="str">
        <f>IF(I162="","",SUBSTITUTE(VLOOKUP(I162,event!E:F,2,0),"?",J162))</f>
        <v>自己受到普攻</v>
      </c>
      <c r="G162" t="str">
        <f>IF(M162="","",SUBSTITUTE(VLOOKUP(M162,effect!B:E,4,0),"?",N162))</f>
        <v/>
      </c>
      <c r="H162" t="str">
        <f>SUBSTITUTE(VLOOKUP(O162,effect!B:E,4,0),"?",P162)</f>
        <v>自己回复1血</v>
      </c>
      <c r="I162" t="s">
        <v>218</v>
      </c>
      <c r="O162" t="s">
        <v>364</v>
      </c>
      <c r="P162">
        <v>1</v>
      </c>
      <c r="Q162" t="s">
        <v>182</v>
      </c>
      <c r="R162" t="s">
        <v>185</v>
      </c>
      <c r="S162" t="s">
        <v>755</v>
      </c>
      <c r="X162" t="s">
        <v>91</v>
      </c>
      <c r="Y162" t="s">
        <v>745</v>
      </c>
    </row>
    <row r="163" spans="1:25" x14ac:dyDescent="0.25">
      <c r="A163">
        <v>20000250</v>
      </c>
      <c r="B163" t="s">
        <v>819</v>
      </c>
      <c r="C163" t="s">
        <v>804</v>
      </c>
      <c r="F163" t="str">
        <f>IF(I163="","",SUBSTITUTE(VLOOKUP(I163,event!E:F,2,0),"?",J163))</f>
        <v>自己受到普攻</v>
      </c>
      <c r="G163" t="str">
        <f>IF(M163="","",SUBSTITUTE(VLOOKUP(M163,effect!B:E,4,0),"?",N163))</f>
        <v/>
      </c>
      <c r="H163" t="str">
        <f>SUBSTITUTE(VLOOKUP(O163,effect!B:E,4,0),"?",P163)</f>
        <v>自己使 目标 伤1血</v>
      </c>
      <c r="I163" t="s">
        <v>218</v>
      </c>
      <c r="O163" t="s">
        <v>380</v>
      </c>
      <c r="P163">
        <v>1</v>
      </c>
      <c r="Q163" t="s">
        <v>182</v>
      </c>
      <c r="R163" t="s">
        <v>185</v>
      </c>
      <c r="S163" t="s">
        <v>755</v>
      </c>
      <c r="X163" t="s">
        <v>91</v>
      </c>
      <c r="Y163" t="s">
        <v>745</v>
      </c>
    </row>
    <row r="164" spans="1:25" x14ac:dyDescent="0.25">
      <c r="A164">
        <v>20000260</v>
      </c>
      <c r="B164" t="s">
        <v>819</v>
      </c>
      <c r="C164" t="s">
        <v>805</v>
      </c>
      <c r="D164" t="s">
        <v>747</v>
      </c>
      <c r="E164">
        <v>1</v>
      </c>
      <c r="F164" t="str">
        <f>IF(I164="","",SUBSTITUTE(VLOOKUP(I164,event!E:F,2,0),"?",J164))</f>
        <v>自己发动手卡</v>
      </c>
      <c r="G164" t="str">
        <f>IF(M164="","",SUBSTITUTE(VLOOKUP(M164,effect!B:E,4,0),"?",N164))</f>
        <v/>
      </c>
      <c r="H164" t="str">
        <f>SUBSTITUTE(VLOOKUP(O164,effect!B:E,4,0),"?",P164)</f>
        <v>自己抽1卡</v>
      </c>
      <c r="I164" t="s">
        <v>552</v>
      </c>
      <c r="O164" t="s">
        <v>369</v>
      </c>
      <c r="P164">
        <v>1</v>
      </c>
      <c r="Q164" t="s">
        <v>182</v>
      </c>
      <c r="R164" t="s">
        <v>185</v>
      </c>
      <c r="S164" t="s">
        <v>755</v>
      </c>
      <c r="X164" t="s">
        <v>91</v>
      </c>
      <c r="Y164" t="s">
        <v>745</v>
      </c>
    </row>
    <row r="165" spans="1:25" x14ac:dyDescent="0.25">
      <c r="A165">
        <v>20000270</v>
      </c>
      <c r="B165" t="s">
        <v>819</v>
      </c>
      <c r="C165" t="s">
        <v>806</v>
      </c>
      <c r="D165" t="s">
        <v>747</v>
      </c>
      <c r="E165">
        <v>1</v>
      </c>
      <c r="F165" t="str">
        <f>IF(I165="","",SUBSTITUTE(VLOOKUP(I165,event!E:F,2,0),"?",J165))</f>
        <v>自己发动手卡</v>
      </c>
      <c r="G165" t="str">
        <f>IF(M165="","",SUBSTITUTE(VLOOKUP(M165,effect!B:E,4,0),"?",N165))</f>
        <v/>
      </c>
      <c r="H165" t="str">
        <f>SUBSTITUTE(VLOOKUP(O165,effect!B:E,4,0),"?",P165)</f>
        <v>自己回复1血</v>
      </c>
      <c r="I165" t="s">
        <v>552</v>
      </c>
      <c r="O165" t="s">
        <v>364</v>
      </c>
      <c r="P165">
        <v>1</v>
      </c>
      <c r="Q165" t="s">
        <v>182</v>
      </c>
      <c r="R165" t="s">
        <v>185</v>
      </c>
      <c r="S165" t="s">
        <v>755</v>
      </c>
      <c r="X165" t="s">
        <v>91</v>
      </c>
      <c r="Y165" t="s">
        <v>745</v>
      </c>
    </row>
    <row r="166" spans="1:25" x14ac:dyDescent="0.25">
      <c r="A166">
        <v>20000280</v>
      </c>
      <c r="B166" t="s">
        <v>819</v>
      </c>
      <c r="C166" t="s">
        <v>807</v>
      </c>
      <c r="D166" t="s">
        <v>747</v>
      </c>
      <c r="E166">
        <v>1</v>
      </c>
      <c r="F166" t="str">
        <f>IF(I166="","",SUBSTITUTE(VLOOKUP(I166,event!E:F,2,0),"?",J166))</f>
        <v>自己发动手卡</v>
      </c>
      <c r="G166" t="str">
        <f>IF(M166="","",SUBSTITUTE(VLOOKUP(M166,effect!B:E,4,0),"?",N166))</f>
        <v/>
      </c>
      <c r="H166" t="str">
        <f>SUBSTITUTE(VLOOKUP(O166,effect!B:E,4,0),"?",P166)</f>
        <v>此回合自己攻+1</v>
      </c>
      <c r="I166" t="s">
        <v>552</v>
      </c>
      <c r="O166" t="s">
        <v>739</v>
      </c>
      <c r="P166">
        <v>1</v>
      </c>
      <c r="Q166" t="s">
        <v>182</v>
      </c>
      <c r="R166" t="s">
        <v>185</v>
      </c>
      <c r="S166" t="s">
        <v>755</v>
      </c>
      <c r="X166" t="s">
        <v>91</v>
      </c>
      <c r="Y166" t="s">
        <v>745</v>
      </c>
    </row>
    <row r="167" spans="1:25" x14ac:dyDescent="0.25">
      <c r="A167">
        <v>20000290</v>
      </c>
      <c r="B167" t="s">
        <v>819</v>
      </c>
      <c r="C167" t="s">
        <v>808</v>
      </c>
      <c r="D167" t="s">
        <v>747</v>
      </c>
      <c r="E167">
        <v>1</v>
      </c>
      <c r="F167" t="str">
        <f>IF(I167="","",SUBSTITUTE(VLOOKUP(I167,event!E:F,2,0),"?",J167))</f>
        <v>自己发动手卡</v>
      </c>
      <c r="G167" t="str">
        <f>IF(M167="","",SUBSTITUTE(VLOOKUP(M167,effect!B:E,4,0),"?",N167))</f>
        <v/>
      </c>
      <c r="H167" t="str">
        <f>SUBSTITUTE(VLOOKUP(O167,effect!B:E,4,0),"?",P167)</f>
        <v>自己查看卡组最顶部1张卡</v>
      </c>
      <c r="I167" t="s">
        <v>552</v>
      </c>
      <c r="O167" t="s">
        <v>715</v>
      </c>
      <c r="P167">
        <v>1</v>
      </c>
      <c r="Q167" t="s">
        <v>182</v>
      </c>
      <c r="R167" t="s">
        <v>185</v>
      </c>
      <c r="S167" t="s">
        <v>755</v>
      </c>
      <c r="X167" t="s">
        <v>91</v>
      </c>
      <c r="Y167" t="s">
        <v>745</v>
      </c>
    </row>
    <row r="168" spans="1:25" x14ac:dyDescent="0.25">
      <c r="A168">
        <v>20000300</v>
      </c>
      <c r="B168" t="s">
        <v>819</v>
      </c>
      <c r="C168" t="s">
        <v>809</v>
      </c>
      <c r="D168" t="s">
        <v>747</v>
      </c>
      <c r="E168">
        <v>1</v>
      </c>
      <c r="F168" t="str">
        <f>IF(I168="","",SUBSTITUTE(VLOOKUP(I168,event!E:F,2,0),"?",J168))</f>
        <v>自己成功发动手卡</v>
      </c>
      <c r="G168" t="str">
        <f>IF(M168="","",SUBSTITUTE(VLOOKUP(M168,effect!B:E,4,0),"?",N168))</f>
        <v/>
      </c>
      <c r="H168" t="str">
        <f>SUBSTITUTE(VLOOKUP(O168,effect!B:E,4,0),"?",P168)</f>
        <v>自己抽1卡</v>
      </c>
      <c r="I168" t="s">
        <v>810</v>
      </c>
      <c r="O168" t="s">
        <v>369</v>
      </c>
      <c r="P168">
        <v>1</v>
      </c>
      <c r="Q168" t="s">
        <v>182</v>
      </c>
      <c r="R168" t="s">
        <v>185</v>
      </c>
      <c r="S168" t="s">
        <v>755</v>
      </c>
      <c r="X168" t="s">
        <v>91</v>
      </c>
      <c r="Y168" t="s">
        <v>745</v>
      </c>
    </row>
    <row r="169" spans="1:25" x14ac:dyDescent="0.25">
      <c r="A169">
        <v>20000310</v>
      </c>
      <c r="B169" t="s">
        <v>819</v>
      </c>
      <c r="C169" t="s">
        <v>811</v>
      </c>
      <c r="D169" t="s">
        <v>747</v>
      </c>
      <c r="E169">
        <v>1</v>
      </c>
      <c r="F169" t="str">
        <f>IF(I169="","",SUBSTITUTE(VLOOKUP(I169,event!E:F,2,0),"?",J169))</f>
        <v>自己成功发动手卡</v>
      </c>
      <c r="G169" t="str">
        <f>IF(M169="","",SUBSTITUTE(VLOOKUP(M169,effect!B:E,4,0),"?",N169))</f>
        <v/>
      </c>
      <c r="H169" t="str">
        <f>SUBSTITUTE(VLOOKUP(O169,effect!B:E,4,0),"?",P169)</f>
        <v>自己回复1血</v>
      </c>
      <c r="I169" t="s">
        <v>810</v>
      </c>
      <c r="O169" t="s">
        <v>364</v>
      </c>
      <c r="P169">
        <v>1</v>
      </c>
      <c r="Q169" t="s">
        <v>182</v>
      </c>
      <c r="R169" t="s">
        <v>185</v>
      </c>
      <c r="S169" t="s">
        <v>755</v>
      </c>
      <c r="X169" t="s">
        <v>91</v>
      </c>
      <c r="Y169" t="s">
        <v>745</v>
      </c>
    </row>
    <row r="170" spans="1:25" x14ac:dyDescent="0.25">
      <c r="A170">
        <v>20000320</v>
      </c>
      <c r="B170" t="s">
        <v>819</v>
      </c>
      <c r="C170" t="s">
        <v>812</v>
      </c>
      <c r="D170" t="s">
        <v>747</v>
      </c>
      <c r="E170">
        <v>1</v>
      </c>
      <c r="F170" t="str">
        <f>IF(I170="","",SUBSTITUTE(VLOOKUP(I170,event!E:F,2,0),"?",J170))</f>
        <v>自己成功发动手卡</v>
      </c>
      <c r="G170" t="str">
        <f>IF(M170="","",SUBSTITUTE(VLOOKUP(M170,effect!B:E,4,0),"?",N170))</f>
        <v/>
      </c>
      <c r="H170" t="str">
        <f>SUBSTITUTE(VLOOKUP(O170,effect!B:E,4,0),"?",P170)</f>
        <v>此回合自己攻+1</v>
      </c>
      <c r="I170" t="s">
        <v>810</v>
      </c>
      <c r="O170" t="s">
        <v>739</v>
      </c>
      <c r="P170">
        <v>1</v>
      </c>
      <c r="Q170" t="s">
        <v>182</v>
      </c>
      <c r="R170" t="s">
        <v>185</v>
      </c>
      <c r="S170" t="s">
        <v>755</v>
      </c>
      <c r="X170" t="s">
        <v>91</v>
      </c>
      <c r="Y170" t="s">
        <v>745</v>
      </c>
    </row>
    <row r="171" spans="1:25" x14ac:dyDescent="0.25">
      <c r="A171">
        <v>20000330</v>
      </c>
      <c r="B171" t="s">
        <v>819</v>
      </c>
      <c r="C171" t="s">
        <v>813</v>
      </c>
      <c r="F171" t="str">
        <f>IF(I171="","",SUBSTITUTE(VLOOKUP(I171,event!E:F,2,0),"?",J171))</f>
        <v>自己回合自己成功发动手卡</v>
      </c>
      <c r="G171" t="str">
        <f>IF(M171="","",SUBSTITUTE(VLOOKUP(M171,effect!B:E,4,0),"?",N171))</f>
        <v/>
      </c>
      <c r="H171" t="str">
        <f>SUBSTITUTE(VLOOKUP(O171,effect!B:E,4,0),"?",P171)</f>
        <v>重置自己规则性普攻次数</v>
      </c>
      <c r="I171" t="s">
        <v>295</v>
      </c>
      <c r="O171" t="s">
        <v>458</v>
      </c>
      <c r="Q171" t="s">
        <v>182</v>
      </c>
      <c r="R171" t="s">
        <v>185</v>
      </c>
      <c r="S171" t="s">
        <v>755</v>
      </c>
      <c r="X171" t="s">
        <v>91</v>
      </c>
      <c r="Y171" t="s">
        <v>745</v>
      </c>
    </row>
    <row r="172" spans="1:25" x14ac:dyDescent="0.25">
      <c r="A172">
        <v>20000340</v>
      </c>
      <c r="B172" t="s">
        <v>819</v>
      </c>
      <c r="C172" t="s">
        <v>814</v>
      </c>
      <c r="F172" t="str">
        <f>IF(I172="","",SUBSTITUTE(VLOOKUP(I172,event!E:F,2,0),"?",J172))</f>
        <v>自己回合自己成功发动手卡</v>
      </c>
      <c r="G172" t="str">
        <f>IF(M172="","",SUBSTITUTE(VLOOKUP(M172,effect!B:E,4,0),"?",N172))</f>
        <v/>
      </c>
      <c r="H172" t="str">
        <f>SUBSTITUTE(VLOOKUP(O172,effect!B:E,4,0),"?",P172)</f>
        <v>自己指定1人伤1血</v>
      </c>
      <c r="I172" t="s">
        <v>295</v>
      </c>
      <c r="O172" t="s">
        <v>673</v>
      </c>
      <c r="P172">
        <v>1</v>
      </c>
      <c r="Q172" t="s">
        <v>182</v>
      </c>
      <c r="R172" t="s">
        <v>185</v>
      </c>
      <c r="S172" t="s">
        <v>755</v>
      </c>
      <c r="X172" t="s">
        <v>91</v>
      </c>
      <c r="Y172" t="s">
        <v>745</v>
      </c>
    </row>
    <row r="173" spans="1:25" x14ac:dyDescent="0.25">
      <c r="A173">
        <v>20000350</v>
      </c>
      <c r="B173" t="s">
        <v>819</v>
      </c>
      <c r="C173" t="s">
        <v>815</v>
      </c>
      <c r="F173" t="str">
        <f>IF(I173="","",SUBSTITUTE(VLOOKUP(I173,event!E:F,2,0),"?",J173))</f>
        <v>自己成功造成效果伤血</v>
      </c>
      <c r="G173" t="str">
        <f>IF(M173="","",SUBSTITUTE(VLOOKUP(M173,effect!B:E,4,0),"?",N173))</f>
        <v/>
      </c>
      <c r="H173" t="str">
        <f>SUBSTITUTE(VLOOKUP(O173,effect!B:E,4,0),"?",P173)</f>
        <v>自己抽1卡</v>
      </c>
      <c r="I173" t="s">
        <v>816</v>
      </c>
      <c r="O173" t="s">
        <v>369</v>
      </c>
      <c r="P173">
        <v>1</v>
      </c>
      <c r="Q173" t="s">
        <v>182</v>
      </c>
      <c r="R173" t="s">
        <v>185</v>
      </c>
      <c r="S173" t="s">
        <v>755</v>
      </c>
      <c r="X173" t="s">
        <v>91</v>
      </c>
      <c r="Y173" t="s">
        <v>745</v>
      </c>
    </row>
    <row r="174" spans="1:25" x14ac:dyDescent="0.25">
      <c r="A174">
        <v>20000360</v>
      </c>
      <c r="B174" t="s">
        <v>819</v>
      </c>
      <c r="C174" t="s">
        <v>817</v>
      </c>
      <c r="F174" t="str">
        <f>IF(I174="","",SUBSTITUTE(VLOOKUP(I174,event!E:F,2,0),"?",J174))</f>
        <v>自己成功造成效果伤血</v>
      </c>
      <c r="G174" t="str">
        <f>IF(M174="","",SUBSTITUTE(VLOOKUP(M174,effect!B:E,4,0),"?",N174))</f>
        <v/>
      </c>
      <c r="H174" t="str">
        <f>SUBSTITUTE(VLOOKUP(O174,effect!B:E,4,0),"?",P174)</f>
        <v>自己回复1血</v>
      </c>
      <c r="I174" t="s">
        <v>816</v>
      </c>
      <c r="O174" t="s">
        <v>364</v>
      </c>
      <c r="P174">
        <v>1</v>
      </c>
      <c r="Q174" t="s">
        <v>182</v>
      </c>
      <c r="R174" t="s">
        <v>185</v>
      </c>
      <c r="S174" t="s">
        <v>755</v>
      </c>
      <c r="X174" t="s">
        <v>91</v>
      </c>
      <c r="Y174" t="s">
        <v>745</v>
      </c>
    </row>
    <row r="175" spans="1:25" x14ac:dyDescent="0.25">
      <c r="A175">
        <v>20000370</v>
      </c>
      <c r="B175" t="s">
        <v>819</v>
      </c>
      <c r="C175" t="s">
        <v>818</v>
      </c>
      <c r="F175" t="str">
        <f>IF(I175="","",SUBSTITUTE(VLOOKUP(I175,event!E:F,2,0),"?",J175))</f>
        <v>自己成功造成效果伤血</v>
      </c>
      <c r="G175" t="str">
        <f>IF(M175="","",SUBSTITUTE(VLOOKUP(M175,effect!B:E,4,0),"?",N175))</f>
        <v/>
      </c>
      <c r="H175" t="str">
        <f>SUBSTITUTE(VLOOKUP(O175,effect!B:E,4,0),"?",P175)</f>
        <v>自己使 目标 随机丢1卡</v>
      </c>
      <c r="I175" t="s">
        <v>816</v>
      </c>
      <c r="O175" t="s">
        <v>685</v>
      </c>
      <c r="P175">
        <v>1</v>
      </c>
      <c r="Q175" t="s">
        <v>182</v>
      </c>
      <c r="R175" t="s">
        <v>185</v>
      </c>
      <c r="S175" t="s">
        <v>755</v>
      </c>
      <c r="X175" t="s">
        <v>91</v>
      </c>
      <c r="Y175" t="s">
        <v>745</v>
      </c>
    </row>
  </sheetData>
  <autoFilter ref="A1:Z175" xr:uid="{00000000-0001-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E05A-4E5D-4BFC-9A26-689B4AC89BD5}">
  <dimension ref="A1:D40"/>
  <sheetViews>
    <sheetView workbookViewId="0">
      <selection activeCell="E20" sqref="E20"/>
    </sheetView>
  </sheetViews>
  <sheetFormatPr defaultRowHeight="13.8" x14ac:dyDescent="0.25"/>
  <sheetData>
    <row r="1" spans="1:4" x14ac:dyDescent="0.25">
      <c r="A1" t="s">
        <v>12</v>
      </c>
      <c r="B1" t="s">
        <v>167</v>
      </c>
      <c r="C1" t="s">
        <v>699</v>
      </c>
      <c r="D1" t="s">
        <v>698</v>
      </c>
    </row>
    <row r="2" spans="1:4" x14ac:dyDescent="0.25">
      <c r="A2">
        <v>60</v>
      </c>
      <c r="B2" t="str">
        <f>VLOOKUP(A2,general!$A:$C,3,)</f>
        <v>神起·焰射</v>
      </c>
      <c r="C2">
        <v>407</v>
      </c>
      <c r="D2" t="str">
        <f>VLOOKUP(C2,general!$A:$C,3,)</f>
        <v>蓝爆冰晶</v>
      </c>
    </row>
    <row r="3" spans="1:4" x14ac:dyDescent="0.25">
      <c r="A3">
        <v>61</v>
      </c>
      <c r="B3" t="str">
        <f>VLOOKUP(A3,general!$A:$C,3,)</f>
        <v>近击·搏杀</v>
      </c>
      <c r="C3">
        <v>405</v>
      </c>
      <c r="D3" t="str">
        <f>VLOOKUP(C3,general!$A:$C,3,)</f>
        <v>憎恨</v>
      </c>
    </row>
    <row r="4" spans="1:4" x14ac:dyDescent="0.25">
      <c r="A4">
        <v>62</v>
      </c>
      <c r="B4" t="str">
        <f>VLOOKUP(A4,general!$A:$C,3,)</f>
        <v>阴势·突进</v>
      </c>
      <c r="C4">
        <v>401</v>
      </c>
      <c r="D4" t="str">
        <f>VLOOKUP(C4,general!$A:$C,3,)</f>
        <v>闪</v>
      </c>
    </row>
    <row r="5" spans="1:4" x14ac:dyDescent="0.25">
      <c r="A5">
        <v>63</v>
      </c>
      <c r="B5" t="str">
        <f>VLOOKUP(A5,general!$A:$C,3,)</f>
        <v>神空·闪降</v>
      </c>
      <c r="C5">
        <v>406</v>
      </c>
      <c r="D5" t="str">
        <f>VLOOKUP(C5,general!$A:$C,3,)</f>
        <v>极天束</v>
      </c>
    </row>
    <row r="6" spans="1:4" x14ac:dyDescent="0.25">
      <c r="A6">
        <v>64</v>
      </c>
      <c r="B6" t="str">
        <f>VLOOKUP(A6,general!$A:$C,3,)</f>
        <v>空遁·闪回</v>
      </c>
      <c r="C6">
        <v>400</v>
      </c>
      <c r="D6" t="str">
        <f>VLOOKUP(C6,general!$A:$C,3,)</f>
        <v>连攻</v>
      </c>
    </row>
    <row r="7" spans="1:4" x14ac:dyDescent="0.25">
      <c r="A7">
        <v>65</v>
      </c>
      <c r="B7" t="str">
        <f>VLOOKUP(A7,general!$A:$C,3,)</f>
        <v>光斩·绝杀</v>
      </c>
      <c r="C7">
        <v>400</v>
      </c>
      <c r="D7" t="str">
        <f>VLOOKUP(C7,general!$A:$C,3,)</f>
        <v>连攻</v>
      </c>
    </row>
    <row r="8" spans="1:4" x14ac:dyDescent="0.25">
      <c r="A8">
        <v>66</v>
      </c>
      <c r="B8" t="str">
        <f>VLOOKUP(A8,general!$A:$C,3,)</f>
        <v>天华绝伦</v>
      </c>
      <c r="C8">
        <v>403</v>
      </c>
      <c r="D8" t="str">
        <f>VLOOKUP(C8,general!$A:$C,3,)</f>
        <v>暗枪</v>
      </c>
    </row>
    <row r="9" spans="1:4" x14ac:dyDescent="0.25">
      <c r="A9">
        <v>67</v>
      </c>
      <c r="B9" t="str">
        <f>VLOOKUP(A9,general!$A:$C,3,)</f>
        <v>神尚激光</v>
      </c>
      <c r="C9">
        <v>400</v>
      </c>
      <c r="D9" t="str">
        <f>VLOOKUP(C9,general!$A:$C,3,)</f>
        <v>连攻</v>
      </c>
    </row>
    <row r="10" spans="1:4" x14ac:dyDescent="0.25">
      <c r="A10">
        <v>68</v>
      </c>
      <c r="B10" t="str">
        <f>VLOOKUP(A10,general!$A:$C,3,)</f>
        <v>轰炸星球</v>
      </c>
      <c r="C10">
        <v>402</v>
      </c>
      <c r="D10" t="str">
        <f>VLOOKUP(C10,general!$A:$C,3,)</f>
        <v>+4血</v>
      </c>
    </row>
    <row r="11" spans="1:4" x14ac:dyDescent="0.25">
      <c r="A11">
        <v>69</v>
      </c>
      <c r="B11" t="str">
        <f>VLOOKUP(A11,general!$A:$C,3,)</f>
        <v>最后的指望</v>
      </c>
      <c r="C11">
        <v>400</v>
      </c>
      <c r="D11" t="str">
        <f>VLOOKUP(C11,general!$A:$C,3,)</f>
        <v>连攻</v>
      </c>
    </row>
    <row r="12" spans="1:4" x14ac:dyDescent="0.25">
      <c r="A12">
        <v>70</v>
      </c>
      <c r="B12" t="str">
        <f>VLOOKUP(A12,general!$A:$C,3,)</f>
        <v>双臂剑</v>
      </c>
      <c r="C12">
        <v>404</v>
      </c>
      <c r="D12" t="str">
        <f>VLOOKUP(C12,general!$A:$C,3,)</f>
        <v>稻草人</v>
      </c>
    </row>
    <row r="13" spans="1:4" x14ac:dyDescent="0.25">
      <c r="A13">
        <v>71</v>
      </c>
      <c r="B13" t="str">
        <f>VLOOKUP(A13,general!$A:$C,3,)</f>
        <v>离心续</v>
      </c>
      <c r="C13">
        <v>401</v>
      </c>
      <c r="D13" t="str">
        <f>VLOOKUP(C13,general!$A:$C,3,)</f>
        <v>闪</v>
      </c>
    </row>
    <row r="14" spans="1:4" x14ac:dyDescent="0.25">
      <c r="A14">
        <v>72</v>
      </c>
      <c r="B14" t="str">
        <f>VLOOKUP(A14,general!$A:$C,3,)</f>
        <v>混虚·太清</v>
      </c>
      <c r="C14">
        <v>400</v>
      </c>
      <c r="D14" t="str">
        <f>VLOOKUP(C14,general!$A:$C,3,)</f>
        <v>连攻</v>
      </c>
    </row>
    <row r="15" spans="1:4" x14ac:dyDescent="0.25">
      <c r="A15">
        <v>73</v>
      </c>
      <c r="B15" t="str">
        <f>VLOOKUP(A15,general!$A:$C,3,)</f>
        <v>幻影剑</v>
      </c>
      <c r="C15">
        <v>402</v>
      </c>
      <c r="D15" t="str">
        <f>VLOOKUP(C15,general!$A:$C,3,)</f>
        <v>+4血</v>
      </c>
    </row>
    <row r="16" spans="1:4" x14ac:dyDescent="0.25">
      <c r="A16">
        <v>74</v>
      </c>
      <c r="B16" t="str">
        <f>VLOOKUP(A16,general!$A:$C,3,)</f>
        <v>冷现·巨剑</v>
      </c>
      <c r="C16">
        <v>400</v>
      </c>
      <c r="D16" t="str">
        <f>VLOOKUP(C16,general!$A:$C,3,)</f>
        <v>连攻</v>
      </c>
    </row>
    <row r="17" spans="1:4" x14ac:dyDescent="0.25">
      <c r="A17">
        <v>75</v>
      </c>
      <c r="B17" t="str">
        <f>VLOOKUP(A17,general!$A:$C,3,)</f>
        <v>隐天盾</v>
      </c>
      <c r="C17">
        <v>400</v>
      </c>
      <c r="D17" t="str">
        <f>VLOOKUP(C17,general!$A:$C,3,)</f>
        <v>连攻</v>
      </c>
    </row>
    <row r="18" spans="1:4" x14ac:dyDescent="0.25">
      <c r="A18">
        <v>76</v>
      </c>
      <c r="B18" t="str">
        <f>VLOOKUP(A18,general!$A:$C,3,)</f>
        <v>破局·神击</v>
      </c>
      <c r="C18">
        <v>401</v>
      </c>
      <c r="D18" t="str">
        <f>VLOOKUP(C18,general!$A:$C,3,)</f>
        <v>闪</v>
      </c>
    </row>
    <row r="19" spans="1:4" x14ac:dyDescent="0.25">
      <c r="A19">
        <v>77</v>
      </c>
      <c r="B19" t="str">
        <f>VLOOKUP(A19,general!$A:$C,3,)</f>
        <v>旋地·回击</v>
      </c>
      <c r="C19">
        <v>406</v>
      </c>
      <c r="D19" t="str">
        <f>VLOOKUP(C19,general!$A:$C,3,)</f>
        <v>极天束</v>
      </c>
    </row>
    <row r="20" spans="1:4" x14ac:dyDescent="0.25">
      <c r="A20">
        <v>0</v>
      </c>
      <c r="B20" t="str">
        <f>VLOOKUP(A20,general!$A:$C,3,)</f>
        <v>承皇剑</v>
      </c>
      <c r="C20">
        <v>405</v>
      </c>
      <c r="D20" t="str">
        <f>VLOOKUP(C20,general!$A:$C,3,)</f>
        <v>憎恨</v>
      </c>
    </row>
    <row r="21" spans="1:4" x14ac:dyDescent="0.25">
      <c r="A21">
        <v>1</v>
      </c>
      <c r="B21" t="str">
        <f>VLOOKUP(A21,general!$A:$C,3,)</f>
        <v>疾风刃</v>
      </c>
      <c r="C21">
        <v>407</v>
      </c>
      <c r="D21" t="str">
        <f>VLOOKUP(C21,general!$A:$C,3,)</f>
        <v>蓝爆冰晶</v>
      </c>
    </row>
    <row r="22" spans="1:4" x14ac:dyDescent="0.25">
      <c r="A22">
        <v>2</v>
      </c>
      <c r="B22" t="str">
        <f>VLOOKUP(A22,general!$A:$C,3,)</f>
        <v>长者之镰</v>
      </c>
      <c r="C22">
        <v>406</v>
      </c>
      <c r="D22" t="str">
        <f>VLOOKUP(C22,general!$A:$C,3,)</f>
        <v>极天束</v>
      </c>
    </row>
    <row r="23" spans="1:4" x14ac:dyDescent="0.25">
      <c r="A23">
        <v>3</v>
      </c>
      <c r="B23" t="str">
        <f>VLOOKUP(A23,general!$A:$C,3,)</f>
        <v>噬剑之剑</v>
      </c>
      <c r="C23">
        <v>401</v>
      </c>
      <c r="D23" t="str">
        <f>VLOOKUP(C23,general!$A:$C,3,)</f>
        <v>闪</v>
      </c>
    </row>
    <row r="24" spans="1:4" x14ac:dyDescent="0.25">
      <c r="A24">
        <v>4</v>
      </c>
      <c r="B24" t="str">
        <f>VLOOKUP(A24,general!$A:$C,3,)</f>
        <v>黑曜剑</v>
      </c>
      <c r="C24">
        <v>400</v>
      </c>
      <c r="D24" t="str">
        <f>VLOOKUP(C24,general!$A:$C,3,)</f>
        <v>连攻</v>
      </c>
    </row>
    <row r="25" spans="1:4" x14ac:dyDescent="0.25">
      <c r="A25">
        <v>5</v>
      </c>
      <c r="B25" t="str">
        <f>VLOOKUP(A25,general!$A:$C,3,)</f>
        <v>食腐再生装置</v>
      </c>
      <c r="C25">
        <v>405</v>
      </c>
      <c r="D25" t="str">
        <f>VLOOKUP(C25,general!$A:$C,3,)</f>
        <v>憎恨</v>
      </c>
    </row>
    <row r="26" spans="1:4" x14ac:dyDescent="0.25">
      <c r="A26">
        <v>6</v>
      </c>
      <c r="B26" t="str">
        <f>VLOOKUP(A26,general!$A:$C,3,)</f>
        <v>恩空法棒</v>
      </c>
      <c r="C26">
        <v>404</v>
      </c>
      <c r="D26" t="str">
        <f>VLOOKUP(C26,general!$A:$C,3,)</f>
        <v>稻草人</v>
      </c>
    </row>
    <row r="27" spans="1:4" x14ac:dyDescent="0.25">
      <c r="A27">
        <v>7</v>
      </c>
      <c r="B27" t="str">
        <f>VLOOKUP(A27,general!$A:$C,3,)</f>
        <v>骷髅诡面</v>
      </c>
      <c r="C27">
        <v>401</v>
      </c>
      <c r="D27" t="str">
        <f>VLOOKUP(C27,general!$A:$C,3,)</f>
        <v>闪</v>
      </c>
    </row>
    <row r="28" spans="1:4" x14ac:dyDescent="0.25">
      <c r="A28">
        <v>8</v>
      </c>
      <c r="B28" t="str">
        <f>VLOOKUP(A28,general!$A:$C,3,)</f>
        <v>破败披风</v>
      </c>
      <c r="C28">
        <v>406</v>
      </c>
      <c r="D28" t="str">
        <f>VLOOKUP(C28,general!$A:$C,3,)</f>
        <v>极天束</v>
      </c>
    </row>
    <row r="29" spans="1:4" x14ac:dyDescent="0.25">
      <c r="A29">
        <v>9</v>
      </c>
      <c r="B29" t="str">
        <f>VLOOKUP(A29,general!$A:$C,3,)</f>
        <v>冠阳剜月斧</v>
      </c>
      <c r="C29">
        <v>402</v>
      </c>
      <c r="D29" t="str">
        <f>VLOOKUP(C29,general!$A:$C,3,)</f>
        <v>+4血</v>
      </c>
    </row>
    <row r="30" spans="1:4" x14ac:dyDescent="0.25">
      <c r="A30">
        <v>30</v>
      </c>
      <c r="B30" t="str">
        <f>VLOOKUP(A30,general!$A:$C,3,)</f>
        <v>决义·地割</v>
      </c>
      <c r="C30">
        <v>401</v>
      </c>
      <c r="D30" t="str">
        <f>VLOOKUP(C30,general!$A:$C,3,)</f>
        <v>闪</v>
      </c>
    </row>
    <row r="31" spans="1:4" x14ac:dyDescent="0.25">
      <c r="A31">
        <v>31</v>
      </c>
      <c r="B31" t="str">
        <f>VLOOKUP(A31,general!$A:$C,3,)</f>
        <v>劈夺斩</v>
      </c>
      <c r="C31">
        <v>402</v>
      </c>
      <c r="D31" t="str">
        <f>VLOOKUP(C31,general!$A:$C,3,)</f>
        <v>+4血</v>
      </c>
    </row>
    <row r="32" spans="1:4" x14ac:dyDescent="0.25">
      <c r="A32">
        <v>32</v>
      </c>
      <c r="B32" t="str">
        <f>VLOOKUP(A32,general!$A:$C,3,)</f>
        <v>剑飞·回斩</v>
      </c>
      <c r="C32">
        <v>401</v>
      </c>
      <c r="D32" t="str">
        <f>VLOOKUP(C32,general!$A:$C,3,)</f>
        <v>闪</v>
      </c>
    </row>
    <row r="33" spans="1:4" x14ac:dyDescent="0.25">
      <c r="A33">
        <v>33</v>
      </c>
      <c r="B33" t="str">
        <f>VLOOKUP(A33,general!$A:$C,3,)</f>
        <v>霸地·挥刃</v>
      </c>
      <c r="C33">
        <v>404</v>
      </c>
      <c r="D33" t="str">
        <f>VLOOKUP(C33,general!$A:$C,3,)</f>
        <v>稻草人</v>
      </c>
    </row>
    <row r="34" spans="1:4" x14ac:dyDescent="0.25">
      <c r="A34">
        <v>34</v>
      </c>
      <c r="B34" t="str">
        <f>VLOOKUP(A34,general!$A:$C,3,)</f>
        <v>极寒加护</v>
      </c>
      <c r="C34">
        <v>401</v>
      </c>
      <c r="D34" t="str">
        <f>VLOOKUP(C34,general!$A:$C,3,)</f>
        <v>闪</v>
      </c>
    </row>
    <row r="35" spans="1:4" x14ac:dyDescent="0.25">
      <c r="A35">
        <v>35</v>
      </c>
      <c r="B35" t="str">
        <f>VLOOKUP(A35,general!$A:$C,3,)</f>
        <v>雷霆加护</v>
      </c>
      <c r="C35">
        <v>402</v>
      </c>
      <c r="D35" t="str">
        <f>VLOOKUP(C35,general!$A:$C,3,)</f>
        <v>+4血</v>
      </c>
    </row>
    <row r="36" spans="1:4" x14ac:dyDescent="0.25">
      <c r="A36">
        <v>36</v>
      </c>
      <c r="B36" t="str">
        <f>VLOOKUP(A36,general!$A:$C,3,)</f>
        <v>炽焰加护</v>
      </c>
      <c r="C36">
        <v>401</v>
      </c>
      <c r="D36" t="str">
        <f>VLOOKUP(C36,general!$A:$C,3,)</f>
        <v>闪</v>
      </c>
    </row>
    <row r="37" spans="1:4" x14ac:dyDescent="0.25">
      <c r="A37">
        <v>37</v>
      </c>
      <c r="B37" t="str">
        <f>VLOOKUP(A37,general!$A:$C,3,)</f>
        <v>流水加护</v>
      </c>
      <c r="C37">
        <v>405</v>
      </c>
      <c r="D37" t="str">
        <f>VLOOKUP(C37,general!$A:$C,3,)</f>
        <v>憎恨</v>
      </c>
    </row>
    <row r="38" spans="1:4" x14ac:dyDescent="0.25">
      <c r="A38">
        <v>38</v>
      </c>
      <c r="B38" t="str">
        <f>VLOOKUP(A38,general!$A:$C,3,)</f>
        <v>神光加护</v>
      </c>
      <c r="C38">
        <v>407</v>
      </c>
      <c r="D38" t="str">
        <f>VLOOKUP(C38,general!$A:$C,3,)</f>
        <v>蓝爆冰晶</v>
      </c>
    </row>
    <row r="39" spans="1:4" x14ac:dyDescent="0.25">
      <c r="A39">
        <v>39</v>
      </c>
      <c r="B39" t="str">
        <f>VLOOKUP(A39,general!$A:$C,3,)</f>
        <v>冥幽加护</v>
      </c>
      <c r="C39">
        <v>404</v>
      </c>
      <c r="D39" t="str">
        <f>VLOOKUP(C39,general!$A:$C,3,)</f>
        <v>稻草人</v>
      </c>
    </row>
    <row r="40" spans="1:4" x14ac:dyDescent="0.25">
      <c r="A40">
        <v>40</v>
      </c>
      <c r="B40" t="str">
        <f>VLOOKUP(A40,general!$A:$C,3,)</f>
        <v>神·空·斩</v>
      </c>
      <c r="C40">
        <v>402</v>
      </c>
      <c r="D40" t="str">
        <f>VLOOKUP(C40,general!$A:$C,3,)</f>
        <v>+4血</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7D13-D424-49D4-8071-591E6EDE6250}">
  <dimension ref="A1:D29"/>
  <sheetViews>
    <sheetView topLeftCell="A11" workbookViewId="0">
      <selection activeCell="B29" sqref="B29"/>
    </sheetView>
  </sheetViews>
  <sheetFormatPr defaultRowHeight="13.8" x14ac:dyDescent="0.25"/>
  <cols>
    <col min="2" max="2" width="83.109375" customWidth="1"/>
    <col min="3" max="3" width="31.44140625" customWidth="1"/>
    <col min="4" max="4" width="24.88671875" customWidth="1"/>
  </cols>
  <sheetData>
    <row r="1" spans="2:4" x14ac:dyDescent="0.25">
      <c r="B1" t="s">
        <v>414</v>
      </c>
    </row>
    <row r="2" spans="2:4" x14ac:dyDescent="0.25">
      <c r="B2" t="s">
        <v>658</v>
      </c>
    </row>
    <row r="3" spans="2:4" x14ac:dyDescent="0.25">
      <c r="B3" t="s">
        <v>415</v>
      </c>
    </row>
    <row r="4" spans="2:4" x14ac:dyDescent="0.25">
      <c r="B4" t="s">
        <v>621</v>
      </c>
      <c r="C4" t="s">
        <v>613</v>
      </c>
    </row>
    <row r="5" spans="2:4" x14ac:dyDescent="0.25">
      <c r="C5" t="s">
        <v>614</v>
      </c>
      <c r="D5" t="s">
        <v>615</v>
      </c>
    </row>
    <row r="6" spans="2:4" x14ac:dyDescent="0.25">
      <c r="C6" t="s">
        <v>622</v>
      </c>
      <c r="D6" t="s">
        <v>616</v>
      </c>
    </row>
    <row r="7" spans="2:4" x14ac:dyDescent="0.25">
      <c r="C7" t="s">
        <v>617</v>
      </c>
    </row>
    <row r="8" spans="2:4" x14ac:dyDescent="0.25">
      <c r="C8" t="s">
        <v>618</v>
      </c>
      <c r="D8" t="s">
        <v>619</v>
      </c>
    </row>
    <row r="9" spans="2:4" x14ac:dyDescent="0.25">
      <c r="C9" t="s">
        <v>629</v>
      </c>
      <c r="D9" t="s">
        <v>620</v>
      </c>
    </row>
    <row r="10" spans="2:4" x14ac:dyDescent="0.25">
      <c r="C10" t="s">
        <v>630</v>
      </c>
      <c r="D10" t="s">
        <v>631</v>
      </c>
    </row>
    <row r="11" spans="2:4" x14ac:dyDescent="0.25">
      <c r="B11" t="s">
        <v>628</v>
      </c>
      <c r="C11" t="s">
        <v>638</v>
      </c>
    </row>
    <row r="12" spans="2:4" x14ac:dyDescent="0.25">
      <c r="C12" t="s">
        <v>624</v>
      </c>
      <c r="D12" t="s">
        <v>627</v>
      </c>
    </row>
    <row r="13" spans="2:4" x14ac:dyDescent="0.25">
      <c r="C13" t="s">
        <v>626</v>
      </c>
      <c r="D13" t="s">
        <v>625</v>
      </c>
    </row>
    <row r="14" spans="2:4" x14ac:dyDescent="0.25">
      <c r="C14" t="s">
        <v>632</v>
      </c>
    </row>
    <row r="15" spans="2:4" x14ac:dyDescent="0.25">
      <c r="C15" t="s">
        <v>633</v>
      </c>
      <c r="D15" t="s">
        <v>634</v>
      </c>
    </row>
    <row r="16" spans="2:4" x14ac:dyDescent="0.25">
      <c r="C16" t="s">
        <v>635</v>
      </c>
      <c r="D16" t="s">
        <v>636</v>
      </c>
    </row>
    <row r="17" spans="1:3" x14ac:dyDescent="0.25">
      <c r="B17" t="s">
        <v>608</v>
      </c>
    </row>
    <row r="18" spans="1:3" x14ac:dyDescent="0.25">
      <c r="B18" t="s">
        <v>503</v>
      </c>
    </row>
    <row r="19" spans="1:3" x14ac:dyDescent="0.25">
      <c r="B19" t="s">
        <v>609</v>
      </c>
    </row>
    <row r="20" spans="1:3" x14ac:dyDescent="0.25">
      <c r="B20" t="s">
        <v>508</v>
      </c>
    </row>
    <row r="21" spans="1:3" x14ac:dyDescent="0.25">
      <c r="B21" t="s">
        <v>589</v>
      </c>
    </row>
    <row r="22" spans="1:3" x14ac:dyDescent="0.25">
      <c r="B22" t="s">
        <v>623</v>
      </c>
      <c r="C22" t="s">
        <v>610</v>
      </c>
    </row>
    <row r="23" spans="1:3" x14ac:dyDescent="0.25">
      <c r="C23" t="s">
        <v>611</v>
      </c>
    </row>
    <row r="24" spans="1:3" x14ac:dyDescent="0.25">
      <c r="C24" t="s">
        <v>612</v>
      </c>
    </row>
    <row r="25" spans="1:3" x14ac:dyDescent="0.25">
      <c r="B25" t="s">
        <v>662</v>
      </c>
    </row>
    <row r="26" spans="1:3" x14ac:dyDescent="0.25">
      <c r="B26" t="s">
        <v>663</v>
      </c>
    </row>
    <row r="27" spans="1:3" x14ac:dyDescent="0.25">
      <c r="B27" t="s">
        <v>664</v>
      </c>
    </row>
    <row r="28" spans="1:3" x14ac:dyDescent="0.25">
      <c r="A28" t="s">
        <v>665</v>
      </c>
      <c r="B28" t="s">
        <v>666</v>
      </c>
    </row>
    <row r="29" spans="1:3" x14ac:dyDescent="0.25">
      <c r="B29" t="s">
        <v>667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6EFFD-F9E4-4287-9132-5870AA5E0CB4}">
  <dimension ref="A1:L11"/>
  <sheetViews>
    <sheetView workbookViewId="0">
      <selection activeCell="C8" sqref="C8"/>
    </sheetView>
  </sheetViews>
  <sheetFormatPr defaultRowHeight="13.8" x14ac:dyDescent="0.25"/>
  <cols>
    <col min="8" max="8" width="9.109375" bestFit="1" customWidth="1"/>
  </cols>
  <sheetData>
    <row r="1" spans="1:12" x14ac:dyDescent="0.25">
      <c r="A1" t="s">
        <v>12</v>
      </c>
      <c r="B1" t="s">
        <v>10</v>
      </c>
      <c r="C1" t="s">
        <v>156</v>
      </c>
      <c r="D1" t="s">
        <v>157</v>
      </c>
      <c r="E1" t="s">
        <v>158</v>
      </c>
      <c r="F1" t="s">
        <v>159</v>
      </c>
      <c r="G1" t="s">
        <v>160</v>
      </c>
      <c r="H1" t="s">
        <v>161</v>
      </c>
      <c r="I1" t="s">
        <v>162</v>
      </c>
      <c r="J1" t="s">
        <v>163</v>
      </c>
      <c r="K1" t="s">
        <v>164</v>
      </c>
      <c r="L1" t="s">
        <v>165</v>
      </c>
    </row>
    <row r="2" spans="1:12" x14ac:dyDescent="0.25">
      <c r="A2">
        <v>0</v>
      </c>
      <c r="B2" t="str">
        <f>VLOOKUP(A2,general!$A:$C,3,)</f>
        <v>承皇剑</v>
      </c>
      <c r="C2">
        <v>1001</v>
      </c>
      <c r="D2">
        <v>1002</v>
      </c>
      <c r="E2">
        <v>1003</v>
      </c>
      <c r="F2">
        <v>1004</v>
      </c>
      <c r="H2" t="str">
        <f>IF(C2="","",IFERROR(VLOOKUP(C2,general!A:C,3,0),"错误"))</f>
        <v>承皇剑0</v>
      </c>
      <c r="I2" t="str">
        <f>IF(D2="","",IFERROR(VLOOKUP(D2,general!A:C,3,0),"错误"))</f>
        <v>承皇剑1</v>
      </c>
      <c r="J2" t="str">
        <f>IF(E2="","",IFERROR(VLOOKUP(E2,general!A:C,3,0),"错误"))</f>
        <v>承皇剑2</v>
      </c>
      <c r="K2" t="str">
        <f>IF(F2="","",IFERROR(VLOOKUP(F2,general!A:C,3,0),"错误"))</f>
        <v>承皇剑3</v>
      </c>
    </row>
    <row r="3" spans="1:12" x14ac:dyDescent="0.25">
      <c r="A3">
        <v>1</v>
      </c>
      <c r="B3" t="str">
        <f>VLOOKUP(A3,general!$A:$C,3,)</f>
        <v>疾风刃</v>
      </c>
      <c r="C3">
        <v>1011</v>
      </c>
      <c r="D3">
        <v>1012</v>
      </c>
      <c r="E3">
        <v>1013</v>
      </c>
      <c r="H3" t="str">
        <f>IFERROR(VLOOKUP(C3,general!A:C,3,0),"")</f>
        <v>疾风刃0</v>
      </c>
      <c r="I3" t="str">
        <f>IFERROR(VLOOKUP(D3,general!A:C,3,0),"")</f>
        <v>疾风刃1</v>
      </c>
      <c r="J3" t="str">
        <f>IF(E3="","",IFERROR(VLOOKUP(E3,general!A:C,3,0),"错误"))</f>
        <v>疾风刃2</v>
      </c>
      <c r="K3" t="str">
        <f>IF(F3="","",IFERROR(VLOOKUP(F3,general!A:C,3,0),"错误"))</f>
        <v/>
      </c>
    </row>
    <row r="4" spans="1:12" x14ac:dyDescent="0.25">
      <c r="A4">
        <v>2</v>
      </c>
      <c r="B4" t="str">
        <f>VLOOKUP(A4,general!$A:$C,3,)</f>
        <v>长者之镰</v>
      </c>
      <c r="C4">
        <v>1021</v>
      </c>
      <c r="D4">
        <v>1022</v>
      </c>
      <c r="E4">
        <v>1023</v>
      </c>
      <c r="H4" t="str">
        <f>IFERROR(VLOOKUP(C4,general!A:C,3,0),"")</f>
        <v>长者之镰0</v>
      </c>
      <c r="I4" t="str">
        <f>IFERROR(VLOOKUP(D4,general!A:C,3,0),"")</f>
        <v>长者之镰1</v>
      </c>
      <c r="J4" t="str">
        <f>IF(E4="","",IFERROR(VLOOKUP(E4,general!A:C,3,0),"错误"))</f>
        <v>长者之镰2</v>
      </c>
      <c r="K4" t="str">
        <f>IF(F4="","",IFERROR(VLOOKUP(F4,general!A:C,3,0),"错误"))</f>
        <v/>
      </c>
    </row>
    <row r="5" spans="1:12" x14ac:dyDescent="0.25">
      <c r="A5">
        <v>3</v>
      </c>
      <c r="B5" t="str">
        <f>VLOOKUP(A5,general!$A:$C,3,)</f>
        <v>噬剑之剑</v>
      </c>
      <c r="C5">
        <v>1031</v>
      </c>
      <c r="D5">
        <v>1032</v>
      </c>
      <c r="E5">
        <v>1033</v>
      </c>
      <c r="H5" t="str">
        <f>IFERROR(VLOOKUP(C5,general!A:C,3,0),"")</f>
        <v>噬剑之剑0</v>
      </c>
      <c r="I5" t="str">
        <f>IFERROR(VLOOKUP(D5,general!A:C,3,0),"")</f>
        <v>噬剑之剑1</v>
      </c>
      <c r="J5" t="str">
        <f>IF(E5="","",IFERROR(VLOOKUP(E5,general!A:C,3,0),"错误"))</f>
        <v>噬剑之剑2</v>
      </c>
      <c r="K5" t="str">
        <f>IF(F5="","",IFERROR(VLOOKUP(F5,general!A:C,3,0),"错误"))</f>
        <v/>
      </c>
    </row>
    <row r="6" spans="1:12" x14ac:dyDescent="0.25">
      <c r="A6">
        <v>4</v>
      </c>
      <c r="B6" t="str">
        <f>VLOOKUP(A6,general!$A:$C,3,)</f>
        <v>黑曜剑</v>
      </c>
      <c r="C6">
        <v>1043</v>
      </c>
      <c r="D6">
        <v>1044</v>
      </c>
      <c r="E6">
        <v>1045</v>
      </c>
      <c r="H6" t="str">
        <f>IFERROR(VLOOKUP(C6,general!A:C,3,0),"")</f>
        <v>黑曜剑0</v>
      </c>
      <c r="I6" t="str">
        <f>IFERROR(VLOOKUP(D6,general!A:C,3,0),"")</f>
        <v>黑曜剑1</v>
      </c>
      <c r="J6" t="str">
        <f>IF(E6="","",IFERROR(VLOOKUP(E6,general!A:C,3,0),"错误"))</f>
        <v>黑曜剑2</v>
      </c>
      <c r="K6" t="str">
        <f>IF(F6="","",IFERROR(VLOOKUP(F6,general!A:C,3,0),"错误"))</f>
        <v/>
      </c>
    </row>
    <row r="7" spans="1:12" x14ac:dyDescent="0.25">
      <c r="A7">
        <v>5</v>
      </c>
      <c r="B7" t="str">
        <f>VLOOKUP(A7,general!$A:$C,3,)</f>
        <v>食腐再生装置</v>
      </c>
      <c r="C7">
        <v>1051</v>
      </c>
      <c r="D7">
        <v>1052</v>
      </c>
      <c r="E7">
        <v>1053</v>
      </c>
      <c r="H7" t="str">
        <f>IFERROR(VLOOKUP(C7,general!A:C,3,0),"")</f>
        <v>食腐再生装置1</v>
      </c>
      <c r="I7" t="str">
        <f>IFERROR(VLOOKUP(D7,general!A:C,3,0),"")</f>
        <v>食腐再生装置2</v>
      </c>
      <c r="J7" t="str">
        <f>IF(E7="","",IFERROR(VLOOKUP(E7,general!A:C,3,0),"错误"))</f>
        <v>食腐再生装置3</v>
      </c>
      <c r="K7" t="str">
        <f>IF(F7="","",IFERROR(VLOOKUP(F7,general!A:C,3,0),"错误"))</f>
        <v/>
      </c>
    </row>
    <row r="8" spans="1:12" x14ac:dyDescent="0.25">
      <c r="A8">
        <v>6</v>
      </c>
      <c r="B8" t="str">
        <f>VLOOKUP(A8,general!$A:$C,3,)</f>
        <v>恩空法棒</v>
      </c>
      <c r="C8">
        <v>1061</v>
      </c>
      <c r="D8">
        <v>1062</v>
      </c>
      <c r="H8" t="str">
        <f>IFERROR(VLOOKUP(C8,general!A:C,3,0),"")</f>
        <v>恩空法棒1</v>
      </c>
      <c r="I8" t="str">
        <f>IFERROR(VLOOKUP(D8,general!A:C,3,0),"")</f>
        <v>恩空法棒2</v>
      </c>
      <c r="J8" t="str">
        <f>IF(E8="","",IFERROR(VLOOKUP(E8,general!A:C,3,0),"错误"))</f>
        <v/>
      </c>
      <c r="K8" t="str">
        <f>IF(F8="","",IFERROR(VLOOKUP(F8,general!A:C,3,0),"错误"))</f>
        <v/>
      </c>
    </row>
    <row r="9" spans="1:12" x14ac:dyDescent="0.25">
      <c r="A9">
        <v>7</v>
      </c>
      <c r="B9" t="str">
        <f>VLOOKUP(A9,general!$A:$C,3,)</f>
        <v>骷髅诡面</v>
      </c>
      <c r="C9">
        <v>1071</v>
      </c>
      <c r="D9">
        <v>1072</v>
      </c>
      <c r="E9">
        <v>1073</v>
      </c>
      <c r="F9">
        <v>1074</v>
      </c>
      <c r="H9" t="str">
        <f>IFERROR(VLOOKUP(C9,general!A:C,3,0),"")</f>
        <v>骷髅诡面1</v>
      </c>
      <c r="I9" t="str">
        <f>IFERROR(VLOOKUP(D9,general!A:C,3,0),"")</f>
        <v>骷髅诡面2</v>
      </c>
      <c r="J9" t="str">
        <f>IF(E9="","",IFERROR(VLOOKUP(E9,general!A:C,3,0),"错误"))</f>
        <v>骷髅诡面3</v>
      </c>
      <c r="K9" t="str">
        <f>IF(F9="","",IFERROR(VLOOKUP(F9,general!A:C,3,0),"错误"))</f>
        <v>骷髅诡面4</v>
      </c>
    </row>
    <row r="10" spans="1:12" x14ac:dyDescent="0.25">
      <c r="A10">
        <v>8</v>
      </c>
      <c r="B10" t="str">
        <f>VLOOKUP(A10,general!$A:$C,3,)</f>
        <v>破败披风</v>
      </c>
      <c r="C10">
        <v>1081</v>
      </c>
      <c r="D10">
        <v>1082</v>
      </c>
      <c r="H10" t="str">
        <f>IFERROR(VLOOKUP(C10,general!A:C,3,0),"")</f>
        <v>破败披风1</v>
      </c>
      <c r="I10" t="str">
        <f>IFERROR(VLOOKUP(D10,general!A:C,3,0),"")</f>
        <v>破败披风2</v>
      </c>
      <c r="J10" t="str">
        <f>IF(E10="","",IFERROR(VLOOKUP(E10,general!A:C,3,0),"错误"))</f>
        <v/>
      </c>
      <c r="K10" t="str">
        <f>IF(F10="","",IFERROR(VLOOKUP(F10,general!A:C,3,0),"错误"))</f>
        <v/>
      </c>
    </row>
    <row r="11" spans="1:12" x14ac:dyDescent="0.25">
      <c r="A11">
        <v>9</v>
      </c>
      <c r="B11" t="str">
        <f>VLOOKUP(A11,general!$A:$C,3,)</f>
        <v>冠阳剜月斧</v>
      </c>
      <c r="C11">
        <v>1091</v>
      </c>
      <c r="D11">
        <v>1092</v>
      </c>
      <c r="E11">
        <v>1093</v>
      </c>
      <c r="H11" t="str">
        <f>IFERROR(VLOOKUP(C11,general!A:C,3,0),"")</f>
        <v>冠阳剜月斧0</v>
      </c>
      <c r="I11" t="str">
        <f>IFERROR(VLOOKUP(D11,general!A:C,3,0),"")</f>
        <v>冠阳剜月斧1</v>
      </c>
      <c r="J11" t="str">
        <f>IF(E11="","",IFERROR(VLOOKUP(E11,general!A:C,3,0),"错误"))</f>
        <v>冠阳剜月斧2</v>
      </c>
      <c r="K11" t="str">
        <f>IF(F11="","",IFERROR(VLOOKUP(F11,general!A:C,3,0),"错误"))</f>
        <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A3C03-01FD-46CE-AC1C-9DBBEC44ACD5}">
  <dimension ref="A1:F23"/>
  <sheetViews>
    <sheetView workbookViewId="0">
      <selection activeCell="D19" sqref="D19"/>
    </sheetView>
  </sheetViews>
  <sheetFormatPr defaultRowHeight="13.8" x14ac:dyDescent="0.25"/>
  <cols>
    <col min="2" max="2" width="12.5546875" customWidth="1"/>
    <col min="4" max="4" width="16.5546875" customWidth="1"/>
    <col min="5" max="5" width="11.6640625" bestFit="1" customWidth="1"/>
  </cols>
  <sheetData>
    <row r="1" spans="1:6" x14ac:dyDescent="0.25">
      <c r="A1" t="s">
        <v>12</v>
      </c>
      <c r="B1" t="s">
        <v>180</v>
      </c>
      <c r="C1" t="s">
        <v>12</v>
      </c>
      <c r="D1" t="s">
        <v>179</v>
      </c>
      <c r="E1" t="s">
        <v>178</v>
      </c>
      <c r="F1" t="s">
        <v>200</v>
      </c>
    </row>
    <row r="2" spans="1:6" x14ac:dyDescent="0.25">
      <c r="A2">
        <v>0</v>
      </c>
      <c r="B2" t="s">
        <v>75</v>
      </c>
      <c r="C2">
        <f>A2</f>
        <v>0</v>
      </c>
      <c r="D2" t="s">
        <v>177</v>
      </c>
    </row>
    <row r="3" spans="1:6" x14ac:dyDescent="0.25">
      <c r="A3">
        <v>1</v>
      </c>
      <c r="B3" t="s">
        <v>74</v>
      </c>
      <c r="C3">
        <f>A3</f>
        <v>1</v>
      </c>
      <c r="D3" t="s">
        <v>147</v>
      </c>
    </row>
    <row r="4" spans="1:6" x14ac:dyDescent="0.25">
      <c r="A4">
        <v>2000</v>
      </c>
      <c r="B4" t="s">
        <v>73</v>
      </c>
      <c r="C4">
        <f>A4</f>
        <v>2000</v>
      </c>
      <c r="D4" t="s">
        <v>176</v>
      </c>
    </row>
    <row r="5" spans="1:6" x14ac:dyDescent="0.25">
      <c r="A5">
        <v>2001</v>
      </c>
      <c r="B5" t="s">
        <v>76</v>
      </c>
      <c r="C5">
        <f>A5</f>
        <v>2001</v>
      </c>
      <c r="D5" t="s">
        <v>175</v>
      </c>
    </row>
    <row r="7" spans="1:6" x14ac:dyDescent="0.25">
      <c r="A7" s="2">
        <v>100000</v>
      </c>
      <c r="B7" t="s">
        <v>98</v>
      </c>
      <c r="C7">
        <f>A7</f>
        <v>100000</v>
      </c>
      <c r="D7" t="s">
        <v>174</v>
      </c>
    </row>
    <row r="8" spans="1:6" x14ac:dyDescent="0.25">
      <c r="A8" s="2">
        <v>200000</v>
      </c>
      <c r="B8" t="s">
        <v>173</v>
      </c>
      <c r="C8">
        <f>A8</f>
        <v>200000</v>
      </c>
      <c r="D8" t="s">
        <v>172</v>
      </c>
    </row>
    <row r="9" spans="1:6" x14ac:dyDescent="0.25">
      <c r="A9" s="2">
        <v>300000</v>
      </c>
      <c r="B9" t="s">
        <v>91</v>
      </c>
      <c r="C9">
        <f>A9</f>
        <v>300000</v>
      </c>
      <c r="D9" t="s">
        <v>171</v>
      </c>
    </row>
    <row r="10" spans="1:6" x14ac:dyDescent="0.25">
      <c r="A10" s="2"/>
    </row>
    <row r="11" spans="1:6" x14ac:dyDescent="0.25">
      <c r="A11" s="2">
        <v>111</v>
      </c>
      <c r="B11" t="s">
        <v>71</v>
      </c>
      <c r="C11">
        <f>A11</f>
        <v>111</v>
      </c>
    </row>
    <row r="12" spans="1:6" x14ac:dyDescent="0.25">
      <c r="C12">
        <f t="shared" ref="C12:C20" si="0">A12</f>
        <v>0</v>
      </c>
    </row>
    <row r="13" spans="1:6" x14ac:dyDescent="0.25">
      <c r="A13">
        <v>3001</v>
      </c>
      <c r="B13" t="s">
        <v>187</v>
      </c>
      <c r="C13">
        <f t="shared" si="0"/>
        <v>3001</v>
      </c>
      <c r="D13" t="s">
        <v>186</v>
      </c>
    </row>
    <row r="14" spans="1:6" x14ac:dyDescent="0.25">
      <c r="A14">
        <v>3002</v>
      </c>
      <c r="B14" t="s">
        <v>155</v>
      </c>
      <c r="C14">
        <f t="shared" si="0"/>
        <v>3002</v>
      </c>
      <c r="D14" t="s">
        <v>643</v>
      </c>
    </row>
    <row r="15" spans="1:6" x14ac:dyDescent="0.25">
      <c r="A15">
        <v>3004</v>
      </c>
      <c r="B15" t="s">
        <v>193</v>
      </c>
      <c r="C15">
        <f t="shared" si="0"/>
        <v>3004</v>
      </c>
      <c r="D15" t="s">
        <v>644</v>
      </c>
    </row>
    <row r="16" spans="1:6" x14ac:dyDescent="0.25">
      <c r="A16">
        <v>3005</v>
      </c>
      <c r="B16" t="s">
        <v>188</v>
      </c>
      <c r="C16">
        <f t="shared" si="0"/>
        <v>3005</v>
      </c>
      <c r="D16" t="s">
        <v>645</v>
      </c>
    </row>
    <row r="17" spans="1:6" x14ac:dyDescent="0.25">
      <c r="A17">
        <v>3006</v>
      </c>
      <c r="B17" t="s">
        <v>648</v>
      </c>
      <c r="C17">
        <f t="shared" si="0"/>
        <v>3006</v>
      </c>
      <c r="D17" t="s">
        <v>649</v>
      </c>
    </row>
    <row r="18" spans="1:6" x14ac:dyDescent="0.25">
      <c r="A18">
        <v>3010</v>
      </c>
      <c r="B18" t="s">
        <v>118</v>
      </c>
      <c r="C18">
        <f t="shared" si="0"/>
        <v>3010</v>
      </c>
      <c r="D18" t="s">
        <v>650</v>
      </c>
    </row>
    <row r="19" spans="1:6" x14ac:dyDescent="0.25">
      <c r="A19">
        <v>3030</v>
      </c>
      <c r="B19" t="s">
        <v>189</v>
      </c>
      <c r="C19">
        <f t="shared" si="0"/>
        <v>3030</v>
      </c>
      <c r="D19" t="s">
        <v>190</v>
      </c>
    </row>
    <row r="20" spans="1:6" x14ac:dyDescent="0.25">
      <c r="A20">
        <v>3050</v>
      </c>
      <c r="B20" t="s">
        <v>191</v>
      </c>
      <c r="C20">
        <f t="shared" si="0"/>
        <v>3050</v>
      </c>
      <c r="D20" t="s">
        <v>192</v>
      </c>
    </row>
    <row r="21" spans="1:6" x14ac:dyDescent="0.25">
      <c r="A21">
        <v>3100</v>
      </c>
      <c r="B21" t="s">
        <v>639</v>
      </c>
      <c r="C21">
        <f>A21</f>
        <v>3100</v>
      </c>
      <c r="D21" t="s">
        <v>197</v>
      </c>
    </row>
    <row r="22" spans="1:6" x14ac:dyDescent="0.25">
      <c r="A22">
        <v>3101</v>
      </c>
      <c r="B22" t="s">
        <v>640</v>
      </c>
      <c r="C22">
        <f>A22</f>
        <v>3101</v>
      </c>
      <c r="D22" t="s">
        <v>198</v>
      </c>
      <c r="F22" t="s">
        <v>202</v>
      </c>
    </row>
    <row r="23" spans="1:6" x14ac:dyDescent="0.25">
      <c r="A23">
        <v>3102</v>
      </c>
      <c r="B23" t="s">
        <v>196</v>
      </c>
      <c r="C23">
        <f>A23</f>
        <v>3102</v>
      </c>
      <c r="D23" t="s">
        <v>199</v>
      </c>
      <c r="F23" t="s">
        <v>201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174F-0660-4A0A-9D90-22F8ECDAD2B6}">
  <dimension ref="A1:O72"/>
  <sheetViews>
    <sheetView workbookViewId="0">
      <selection activeCell="G25" sqref="G25"/>
    </sheetView>
  </sheetViews>
  <sheetFormatPr defaultRowHeight="13.8" x14ac:dyDescent="0.25"/>
  <cols>
    <col min="4" max="4" width="7.5546875" customWidth="1"/>
    <col min="5" max="5" width="38.5546875" bestFit="1" customWidth="1"/>
    <col min="6" max="6" width="38.21875" customWidth="1"/>
    <col min="7" max="7" width="23.77734375" customWidth="1"/>
    <col min="8" max="8" width="14.88671875" customWidth="1"/>
    <col min="9" max="9" width="15.21875" customWidth="1"/>
    <col min="10" max="10" width="16.44140625" customWidth="1"/>
    <col min="11" max="11" width="19.44140625" bestFit="1" customWidth="1"/>
  </cols>
  <sheetData>
    <row r="1" spans="1:15" x14ac:dyDescent="0.25">
      <c r="A1" t="s">
        <v>12</v>
      </c>
      <c r="B1" t="s">
        <v>246</v>
      </c>
      <c r="C1" t="s">
        <v>247</v>
      </c>
      <c r="D1" t="s">
        <v>254</v>
      </c>
      <c r="E1" t="s">
        <v>533</v>
      </c>
      <c r="F1" t="s">
        <v>167</v>
      </c>
      <c r="G1" t="s">
        <v>10</v>
      </c>
      <c r="H1" t="s">
        <v>571</v>
      </c>
      <c r="I1" t="s">
        <v>572</v>
      </c>
      <c r="J1" t="s">
        <v>573</v>
      </c>
      <c r="K1" t="s">
        <v>309</v>
      </c>
      <c r="L1" t="s">
        <v>310</v>
      </c>
      <c r="M1" t="s">
        <v>311</v>
      </c>
      <c r="N1" t="s">
        <v>317</v>
      </c>
      <c r="O1" t="s">
        <v>331</v>
      </c>
    </row>
    <row r="2" spans="1:15" x14ac:dyDescent="0.25">
      <c r="A2">
        <v>-999</v>
      </c>
      <c r="E2" t="s">
        <v>301</v>
      </c>
      <c r="F2" t="s">
        <v>248</v>
      </c>
      <c r="G2" t="s">
        <v>301</v>
      </c>
    </row>
    <row r="3" spans="1:15" x14ac:dyDescent="0.25">
      <c r="A3">
        <v>-100</v>
      </c>
      <c r="E3" t="s">
        <v>579</v>
      </c>
      <c r="F3" t="s">
        <v>578</v>
      </c>
      <c r="G3" t="s">
        <v>579</v>
      </c>
    </row>
    <row r="4" spans="1:15" x14ac:dyDescent="0.25">
      <c r="A4">
        <v>1000</v>
      </c>
      <c r="B4" t="s">
        <v>253</v>
      </c>
      <c r="E4" t="s">
        <v>215</v>
      </c>
      <c r="F4" t="s">
        <v>214</v>
      </c>
      <c r="G4" t="s">
        <v>215</v>
      </c>
    </row>
    <row r="5" spans="1:15" x14ac:dyDescent="0.25">
      <c r="A5">
        <v>10000</v>
      </c>
      <c r="C5" t="s">
        <v>253</v>
      </c>
      <c r="E5" t="s">
        <v>257</v>
      </c>
      <c r="F5" t="s">
        <v>213</v>
      </c>
      <c r="G5" t="s">
        <v>257</v>
      </c>
    </row>
    <row r="6" spans="1:15" x14ac:dyDescent="0.25">
      <c r="A6">
        <v>10100</v>
      </c>
      <c r="B6" t="s">
        <v>253</v>
      </c>
      <c r="E6" t="s">
        <v>259</v>
      </c>
      <c r="F6" t="s">
        <v>210</v>
      </c>
      <c r="G6" t="s">
        <v>259</v>
      </c>
    </row>
    <row r="7" spans="1:15" x14ac:dyDescent="0.25">
      <c r="A7">
        <v>20000</v>
      </c>
      <c r="C7" t="s">
        <v>253</v>
      </c>
      <c r="E7" t="s">
        <v>299</v>
      </c>
      <c r="F7" t="s">
        <v>54</v>
      </c>
      <c r="G7" t="s">
        <v>299</v>
      </c>
      <c r="K7" t="s">
        <v>54</v>
      </c>
      <c r="L7" t="s">
        <v>324</v>
      </c>
      <c r="M7" t="s">
        <v>323</v>
      </c>
      <c r="N7" t="s">
        <v>325</v>
      </c>
      <c r="O7" t="s">
        <v>327</v>
      </c>
    </row>
    <row r="8" spans="1:15" x14ac:dyDescent="0.25">
      <c r="A8">
        <v>20001</v>
      </c>
      <c r="C8" t="s">
        <v>71</v>
      </c>
      <c r="E8" t="s">
        <v>602</v>
      </c>
      <c r="F8" t="s">
        <v>569</v>
      </c>
      <c r="G8" t="s">
        <v>568</v>
      </c>
    </row>
    <row r="9" spans="1:15" x14ac:dyDescent="0.25">
      <c r="A9">
        <v>20010</v>
      </c>
      <c r="C9" t="s">
        <v>253</v>
      </c>
      <c r="E9" t="s">
        <v>300</v>
      </c>
      <c r="F9" t="s">
        <v>326</v>
      </c>
      <c r="G9" t="s">
        <v>300</v>
      </c>
      <c r="K9" t="s">
        <v>54</v>
      </c>
      <c r="L9" t="s">
        <v>324</v>
      </c>
      <c r="M9" t="s">
        <v>323</v>
      </c>
      <c r="N9" t="s">
        <v>325</v>
      </c>
      <c r="O9" t="s">
        <v>329</v>
      </c>
    </row>
    <row r="10" spans="1:15" x14ac:dyDescent="0.25">
      <c r="A10">
        <v>20020</v>
      </c>
      <c r="C10" t="s">
        <v>253</v>
      </c>
      <c r="E10" t="s">
        <v>308</v>
      </c>
      <c r="F10" t="s">
        <v>328</v>
      </c>
      <c r="G10" t="s">
        <v>308</v>
      </c>
      <c r="K10" t="s">
        <v>54</v>
      </c>
      <c r="L10" t="s">
        <v>324</v>
      </c>
      <c r="M10" t="s">
        <v>323</v>
      </c>
      <c r="N10" t="s">
        <v>325</v>
      </c>
      <c r="O10" t="s">
        <v>327</v>
      </c>
    </row>
    <row r="11" spans="1:15" x14ac:dyDescent="0.25">
      <c r="A11">
        <v>20200</v>
      </c>
      <c r="C11" t="s">
        <v>253</v>
      </c>
      <c r="E11" t="s">
        <v>306</v>
      </c>
      <c r="F11" t="s">
        <v>226</v>
      </c>
      <c r="G11" t="s">
        <v>306</v>
      </c>
      <c r="K11" t="s">
        <v>322</v>
      </c>
      <c r="L11" t="s">
        <v>324</v>
      </c>
      <c r="M11" t="s">
        <v>323</v>
      </c>
      <c r="N11" t="s">
        <v>325</v>
      </c>
      <c r="O11" t="s">
        <v>327</v>
      </c>
    </row>
    <row r="12" spans="1:15" x14ac:dyDescent="0.25">
      <c r="A12">
        <v>20300</v>
      </c>
      <c r="C12" t="s">
        <v>253</v>
      </c>
      <c r="E12" t="s">
        <v>268</v>
      </c>
      <c r="F12" t="s">
        <v>230</v>
      </c>
      <c r="G12" t="s">
        <v>268</v>
      </c>
      <c r="L12" t="s">
        <v>324</v>
      </c>
      <c r="N12" t="s">
        <v>325</v>
      </c>
      <c r="O12" t="s">
        <v>330</v>
      </c>
    </row>
    <row r="13" spans="1:15" x14ac:dyDescent="0.25">
      <c r="A13">
        <v>20310</v>
      </c>
      <c r="C13" t="s">
        <v>253</v>
      </c>
      <c r="E13" t="s">
        <v>264</v>
      </c>
      <c r="F13" t="s">
        <v>232</v>
      </c>
      <c r="G13" t="s">
        <v>264</v>
      </c>
    </row>
    <row r="14" spans="1:15" x14ac:dyDescent="0.25">
      <c r="A14">
        <v>20320</v>
      </c>
      <c r="C14" t="s">
        <v>253</v>
      </c>
      <c r="E14" t="s">
        <v>304</v>
      </c>
      <c r="F14" t="s">
        <v>84</v>
      </c>
      <c r="G14" t="s">
        <v>304</v>
      </c>
    </row>
    <row r="15" spans="1:15" x14ac:dyDescent="0.25">
      <c r="B15" t="s">
        <v>670</v>
      </c>
      <c r="E15" t="s">
        <v>668</v>
      </c>
      <c r="F15" t="s">
        <v>669</v>
      </c>
      <c r="G15" t="s">
        <v>668</v>
      </c>
    </row>
    <row r="16" spans="1:15" x14ac:dyDescent="0.25">
      <c r="E16" t="s">
        <v>659</v>
      </c>
      <c r="F16" t="s">
        <v>660</v>
      </c>
      <c r="G16" t="s">
        <v>659</v>
      </c>
    </row>
    <row r="17" spans="1:8" x14ac:dyDescent="0.25">
      <c r="A17">
        <v>30100</v>
      </c>
      <c r="B17" t="s">
        <v>253</v>
      </c>
      <c r="E17" t="s">
        <v>258</v>
      </c>
      <c r="F17" t="s">
        <v>557</v>
      </c>
      <c r="G17" t="s">
        <v>258</v>
      </c>
    </row>
    <row r="18" spans="1:8" x14ac:dyDescent="0.25">
      <c r="A18">
        <v>30100</v>
      </c>
      <c r="B18" t="s">
        <v>71</v>
      </c>
      <c r="E18" t="s">
        <v>556</v>
      </c>
      <c r="F18" t="s">
        <v>558</v>
      </c>
      <c r="G18" t="s">
        <v>556</v>
      </c>
    </row>
    <row r="19" spans="1:8" x14ac:dyDescent="0.25">
      <c r="A19">
        <v>40100</v>
      </c>
      <c r="B19" t="s">
        <v>253</v>
      </c>
      <c r="E19" t="s">
        <v>313</v>
      </c>
      <c r="F19" t="s">
        <v>314</v>
      </c>
      <c r="G19" t="s">
        <v>313</v>
      </c>
    </row>
    <row r="20" spans="1:8" x14ac:dyDescent="0.25">
      <c r="A20">
        <v>40200</v>
      </c>
      <c r="B20" t="s">
        <v>253</v>
      </c>
      <c r="E20" t="s">
        <v>312</v>
      </c>
      <c r="F20" t="s">
        <v>315</v>
      </c>
      <c r="G20" t="s">
        <v>312</v>
      </c>
    </row>
    <row r="21" spans="1:8" x14ac:dyDescent="0.25">
      <c r="A21">
        <v>90002</v>
      </c>
      <c r="B21" t="s">
        <v>253</v>
      </c>
      <c r="E21" t="s">
        <v>255</v>
      </c>
      <c r="F21" t="s">
        <v>211</v>
      </c>
      <c r="G21" t="s">
        <v>255</v>
      </c>
    </row>
    <row r="22" spans="1:8" x14ac:dyDescent="0.25">
      <c r="A22">
        <v>90003</v>
      </c>
      <c r="B22" t="s">
        <v>253</v>
      </c>
      <c r="E22" t="s">
        <v>256</v>
      </c>
      <c r="F22" t="s">
        <v>212</v>
      </c>
      <c r="G22" t="s">
        <v>256</v>
      </c>
    </row>
    <row r="23" spans="1:8" x14ac:dyDescent="0.25">
      <c r="A23">
        <v>100000</v>
      </c>
      <c r="B23" t="s">
        <v>253</v>
      </c>
      <c r="E23" t="s">
        <v>277</v>
      </c>
      <c r="F23" t="s">
        <v>278</v>
      </c>
      <c r="G23" t="s">
        <v>277</v>
      </c>
    </row>
    <row r="24" spans="1:8" x14ac:dyDescent="0.25">
      <c r="A24">
        <v>110100</v>
      </c>
      <c r="B24" t="s">
        <v>253</v>
      </c>
      <c r="E24" t="s">
        <v>318</v>
      </c>
      <c r="F24" t="s">
        <v>319</v>
      </c>
      <c r="G24" t="s">
        <v>318</v>
      </c>
    </row>
    <row r="25" spans="1:8" x14ac:dyDescent="0.25">
      <c r="A25">
        <v>110101</v>
      </c>
      <c r="B25" t="s">
        <v>253</v>
      </c>
      <c r="C25" t="s">
        <v>253</v>
      </c>
      <c r="E25" t="s">
        <v>295</v>
      </c>
      <c r="F25" t="s">
        <v>252</v>
      </c>
      <c r="G25" t="s">
        <v>295</v>
      </c>
    </row>
    <row r="26" spans="1:8" x14ac:dyDescent="0.25">
      <c r="A26">
        <v>110200</v>
      </c>
      <c r="B26" t="s">
        <v>253</v>
      </c>
      <c r="E26" t="s">
        <v>298</v>
      </c>
      <c r="F26" t="s">
        <v>237</v>
      </c>
      <c r="G26" t="s">
        <v>298</v>
      </c>
      <c r="H26" t="s">
        <v>297</v>
      </c>
    </row>
    <row r="27" spans="1:8" x14ac:dyDescent="0.25">
      <c r="A27">
        <v>110300</v>
      </c>
      <c r="B27" t="s">
        <v>253</v>
      </c>
      <c r="E27" t="s">
        <v>297</v>
      </c>
      <c r="F27" t="s">
        <v>284</v>
      </c>
      <c r="G27" t="s">
        <v>297</v>
      </c>
    </row>
    <row r="28" spans="1:8" x14ac:dyDescent="0.25">
      <c r="A28">
        <v>110400</v>
      </c>
      <c r="B28" t="s">
        <v>253</v>
      </c>
      <c r="E28" t="s">
        <v>305</v>
      </c>
      <c r="F28" t="s">
        <v>249</v>
      </c>
      <c r="G28" t="s">
        <v>305</v>
      </c>
    </row>
    <row r="29" spans="1:8" x14ac:dyDescent="0.25">
      <c r="A29">
        <v>110500</v>
      </c>
      <c r="B29" t="s">
        <v>253</v>
      </c>
      <c r="E29" t="s">
        <v>265</v>
      </c>
      <c r="F29" t="s">
        <v>532</v>
      </c>
      <c r="G29" t="s">
        <v>265</v>
      </c>
    </row>
    <row r="30" spans="1:8" x14ac:dyDescent="0.25">
      <c r="A30">
        <v>110501</v>
      </c>
      <c r="B30" t="s">
        <v>253</v>
      </c>
      <c r="E30" t="s">
        <v>302</v>
      </c>
      <c r="F30" t="s">
        <v>700</v>
      </c>
      <c r="G30" t="s">
        <v>302</v>
      </c>
    </row>
    <row r="31" spans="1:8" x14ac:dyDescent="0.25">
      <c r="A31">
        <v>110600</v>
      </c>
      <c r="B31" t="s">
        <v>253</v>
      </c>
      <c r="E31" t="s">
        <v>281</v>
      </c>
      <c r="F31" t="s">
        <v>225</v>
      </c>
      <c r="G31" t="s">
        <v>281</v>
      </c>
    </row>
    <row r="32" spans="1:8" x14ac:dyDescent="0.25">
      <c r="A32">
        <v>110610</v>
      </c>
      <c r="B32" t="s">
        <v>296</v>
      </c>
      <c r="C32" t="s">
        <v>296</v>
      </c>
      <c r="E32" t="s">
        <v>280</v>
      </c>
      <c r="F32" t="s">
        <v>223</v>
      </c>
      <c r="G32" t="s">
        <v>280</v>
      </c>
      <c r="H32" t="s">
        <v>281</v>
      </c>
    </row>
    <row r="33" spans="1:9" x14ac:dyDescent="0.25">
      <c r="A33">
        <v>110620</v>
      </c>
      <c r="B33" t="s">
        <v>253</v>
      </c>
      <c r="C33" t="s">
        <v>253</v>
      </c>
      <c r="E33" t="s">
        <v>307</v>
      </c>
      <c r="F33" t="s">
        <v>229</v>
      </c>
      <c r="G33" t="s">
        <v>307</v>
      </c>
      <c r="H33" t="s">
        <v>281</v>
      </c>
    </row>
    <row r="34" spans="1:9" x14ac:dyDescent="0.25">
      <c r="A34">
        <v>120100</v>
      </c>
      <c r="B34" t="s">
        <v>253</v>
      </c>
      <c r="E34" t="s">
        <v>267</v>
      </c>
      <c r="F34" t="s">
        <v>241</v>
      </c>
      <c r="G34" t="s">
        <v>267</v>
      </c>
    </row>
    <row r="35" spans="1:9" x14ac:dyDescent="0.25">
      <c r="A35">
        <v>120200</v>
      </c>
      <c r="B35" t="s">
        <v>253</v>
      </c>
      <c r="E35" t="s">
        <v>269</v>
      </c>
      <c r="F35" t="s">
        <v>242</v>
      </c>
      <c r="G35" t="s">
        <v>269</v>
      </c>
      <c r="H35" t="s">
        <v>270</v>
      </c>
      <c r="I35" t="s">
        <v>279</v>
      </c>
    </row>
    <row r="36" spans="1:9" x14ac:dyDescent="0.25">
      <c r="A36">
        <v>120201</v>
      </c>
      <c r="B36" t="s">
        <v>253</v>
      </c>
      <c r="E36" t="s">
        <v>270</v>
      </c>
      <c r="F36" t="s">
        <v>243</v>
      </c>
      <c r="G36" t="s">
        <v>270</v>
      </c>
    </row>
    <row r="37" spans="1:9" x14ac:dyDescent="0.25">
      <c r="A37">
        <v>120300</v>
      </c>
      <c r="B37" t="s">
        <v>253</v>
      </c>
      <c r="E37" t="s">
        <v>279</v>
      </c>
      <c r="F37" t="s">
        <v>227</v>
      </c>
      <c r="G37" t="s">
        <v>279</v>
      </c>
      <c r="H37" t="s">
        <v>282</v>
      </c>
      <c r="I37" t="s">
        <v>283</v>
      </c>
    </row>
    <row r="38" spans="1:9" x14ac:dyDescent="0.25">
      <c r="A38">
        <v>120301</v>
      </c>
      <c r="B38" t="s">
        <v>253</v>
      </c>
      <c r="E38" t="s">
        <v>282</v>
      </c>
      <c r="F38" t="s">
        <v>244</v>
      </c>
      <c r="G38" t="s">
        <v>282</v>
      </c>
    </row>
    <row r="39" spans="1:9" x14ac:dyDescent="0.25">
      <c r="A39">
        <v>120302</v>
      </c>
      <c r="B39" t="s">
        <v>253</v>
      </c>
      <c r="E39" t="s">
        <v>283</v>
      </c>
      <c r="F39" t="s">
        <v>245</v>
      </c>
      <c r="G39" t="s">
        <v>283</v>
      </c>
    </row>
    <row r="40" spans="1:9" x14ac:dyDescent="0.25">
      <c r="A40">
        <v>130000</v>
      </c>
      <c r="B40" t="s">
        <v>253</v>
      </c>
      <c r="E40" t="s">
        <v>216</v>
      </c>
      <c r="F40" t="s">
        <v>239</v>
      </c>
      <c r="G40" t="s">
        <v>216</v>
      </c>
    </row>
    <row r="41" spans="1:9" x14ac:dyDescent="0.25">
      <c r="A41">
        <v>130100</v>
      </c>
      <c r="B41" t="s">
        <v>253</v>
      </c>
      <c r="E41" t="s">
        <v>316</v>
      </c>
      <c r="F41" t="s">
        <v>251</v>
      </c>
      <c r="G41" t="s">
        <v>316</v>
      </c>
      <c r="H41" t="s">
        <v>291</v>
      </c>
      <c r="I41" t="s">
        <v>293</v>
      </c>
    </row>
    <row r="42" spans="1:9" x14ac:dyDescent="0.25">
      <c r="A42">
        <v>130200</v>
      </c>
      <c r="C42" t="s">
        <v>253</v>
      </c>
      <c r="E42" t="s">
        <v>285</v>
      </c>
      <c r="F42" t="s">
        <v>286</v>
      </c>
      <c r="G42" t="s">
        <v>285</v>
      </c>
    </row>
    <row r="43" spans="1:9" x14ac:dyDescent="0.25">
      <c r="A43">
        <v>130300</v>
      </c>
      <c r="B43" t="s">
        <v>71</v>
      </c>
      <c r="E43" t="s">
        <v>260</v>
      </c>
      <c r="F43" t="s">
        <v>228</v>
      </c>
      <c r="G43" t="s">
        <v>260</v>
      </c>
    </row>
    <row r="44" spans="1:9" x14ac:dyDescent="0.25">
      <c r="A44">
        <v>130400</v>
      </c>
      <c r="B44" t="s">
        <v>71</v>
      </c>
      <c r="E44" t="s">
        <v>320</v>
      </c>
      <c r="F44" t="s">
        <v>321</v>
      </c>
      <c r="G44" t="s">
        <v>320</v>
      </c>
    </row>
    <row r="45" spans="1:9" x14ac:dyDescent="0.25">
      <c r="A45">
        <v>130410</v>
      </c>
      <c r="B45" t="s">
        <v>253</v>
      </c>
      <c r="E45" t="s">
        <v>288</v>
      </c>
      <c r="F45" t="s">
        <v>236</v>
      </c>
      <c r="G45" t="s">
        <v>288</v>
      </c>
    </row>
    <row r="46" spans="1:9" x14ac:dyDescent="0.25">
      <c r="A46">
        <v>130420</v>
      </c>
      <c r="B46" t="s">
        <v>253</v>
      </c>
      <c r="E46" t="s">
        <v>289</v>
      </c>
      <c r="F46" t="s">
        <v>290</v>
      </c>
      <c r="G46" t="s">
        <v>289</v>
      </c>
    </row>
    <row r="47" spans="1:9" x14ac:dyDescent="0.25">
      <c r="A47">
        <v>130430</v>
      </c>
      <c r="B47" t="s">
        <v>253</v>
      </c>
      <c r="E47" t="s">
        <v>262</v>
      </c>
      <c r="F47" t="s">
        <v>580</v>
      </c>
      <c r="G47" t="s">
        <v>262</v>
      </c>
    </row>
    <row r="48" spans="1:9" x14ac:dyDescent="0.25">
      <c r="A48">
        <v>130440</v>
      </c>
      <c r="B48" t="s">
        <v>253</v>
      </c>
      <c r="E48" t="s">
        <v>261</v>
      </c>
      <c r="F48" t="s">
        <v>238</v>
      </c>
      <c r="G48" t="s">
        <v>261</v>
      </c>
    </row>
    <row r="49" spans="1:9" x14ac:dyDescent="0.25">
      <c r="A49">
        <v>130450</v>
      </c>
      <c r="B49" t="s">
        <v>253</v>
      </c>
      <c r="E49" t="s">
        <v>291</v>
      </c>
      <c r="F49" t="s">
        <v>292</v>
      </c>
      <c r="G49" t="s">
        <v>291</v>
      </c>
    </row>
    <row r="50" spans="1:9" x14ac:dyDescent="0.25">
      <c r="A50">
        <v>130460</v>
      </c>
      <c r="B50" t="s">
        <v>253</v>
      </c>
      <c r="E50" t="s">
        <v>293</v>
      </c>
      <c r="F50" t="s">
        <v>294</v>
      </c>
      <c r="G50" t="s">
        <v>293</v>
      </c>
    </row>
    <row r="51" spans="1:9" x14ac:dyDescent="0.25">
      <c r="A51">
        <v>130500</v>
      </c>
      <c r="B51" t="s">
        <v>253</v>
      </c>
      <c r="E51" t="s">
        <v>263</v>
      </c>
      <c r="F51" t="s">
        <v>233</v>
      </c>
      <c r="G51" t="s">
        <v>263</v>
      </c>
    </row>
    <row r="52" spans="1:9" x14ac:dyDescent="0.25">
      <c r="A52">
        <v>130501</v>
      </c>
      <c r="B52" t="s">
        <v>71</v>
      </c>
      <c r="E52" t="s">
        <v>287</v>
      </c>
      <c r="F52" t="s">
        <v>235</v>
      </c>
      <c r="G52" t="s">
        <v>287</v>
      </c>
    </row>
    <row r="53" spans="1:9" x14ac:dyDescent="0.25">
      <c r="A53">
        <v>130502</v>
      </c>
      <c r="B53" t="s">
        <v>253</v>
      </c>
      <c r="E53" t="s">
        <v>581</v>
      </c>
      <c r="F53" t="s">
        <v>582</v>
      </c>
      <c r="G53" t="s">
        <v>581</v>
      </c>
    </row>
    <row r="54" spans="1:9" x14ac:dyDescent="0.25">
      <c r="A54">
        <v>130502</v>
      </c>
      <c r="B54" t="s">
        <v>253</v>
      </c>
      <c r="E54" t="s">
        <v>217</v>
      </c>
      <c r="F54" t="s">
        <v>224</v>
      </c>
      <c r="G54" t="s">
        <v>217</v>
      </c>
    </row>
    <row r="55" spans="1:9" x14ac:dyDescent="0.25">
      <c r="A55">
        <v>140100</v>
      </c>
      <c r="B55" t="s">
        <v>253</v>
      </c>
      <c r="E55" t="s">
        <v>272</v>
      </c>
      <c r="F55" t="s">
        <v>234</v>
      </c>
      <c r="G55" t="s">
        <v>272</v>
      </c>
    </row>
    <row r="56" spans="1:9" x14ac:dyDescent="0.25">
      <c r="A56">
        <v>140200</v>
      </c>
      <c r="B56" t="s">
        <v>253</v>
      </c>
      <c r="E56" t="s">
        <v>274</v>
      </c>
      <c r="F56" t="s">
        <v>276</v>
      </c>
      <c r="G56" t="s">
        <v>274</v>
      </c>
      <c r="H56" t="s">
        <v>273</v>
      </c>
      <c r="I56" t="s">
        <v>271</v>
      </c>
    </row>
    <row r="57" spans="1:9" x14ac:dyDescent="0.25">
      <c r="A57">
        <v>140201</v>
      </c>
      <c r="B57" t="s">
        <v>253</v>
      </c>
      <c r="E57" t="s">
        <v>273</v>
      </c>
      <c r="F57" t="s">
        <v>275</v>
      </c>
      <c r="G57" t="s">
        <v>273</v>
      </c>
    </row>
    <row r="58" spans="1:9" x14ac:dyDescent="0.25">
      <c r="A58">
        <v>140202</v>
      </c>
      <c r="B58" t="s">
        <v>253</v>
      </c>
      <c r="E58" t="s">
        <v>271</v>
      </c>
      <c r="F58" t="s">
        <v>222</v>
      </c>
      <c r="G58" t="s">
        <v>271</v>
      </c>
    </row>
    <row r="59" spans="1:9" x14ac:dyDescent="0.25">
      <c r="A59">
        <v>140400</v>
      </c>
      <c r="B59" t="s">
        <v>253</v>
      </c>
      <c r="E59" t="s">
        <v>303</v>
      </c>
      <c r="F59" t="s">
        <v>240</v>
      </c>
      <c r="G59" t="s">
        <v>303</v>
      </c>
      <c r="H59" t="s">
        <v>266</v>
      </c>
      <c r="I59" t="s">
        <v>575</v>
      </c>
    </row>
    <row r="60" spans="1:9" x14ac:dyDescent="0.25">
      <c r="A60">
        <v>140401</v>
      </c>
      <c r="B60" t="s">
        <v>71</v>
      </c>
      <c r="E60" t="s">
        <v>575</v>
      </c>
      <c r="F60" t="s">
        <v>574</v>
      </c>
      <c r="G60" t="s">
        <v>575</v>
      </c>
    </row>
    <row r="61" spans="1:9" x14ac:dyDescent="0.25">
      <c r="A61">
        <v>140401</v>
      </c>
      <c r="B61" t="s">
        <v>253</v>
      </c>
      <c r="E61" t="s">
        <v>266</v>
      </c>
      <c r="F61" t="s">
        <v>250</v>
      </c>
      <c r="G61" t="s">
        <v>266</v>
      </c>
    </row>
    <row r="62" spans="1:9" x14ac:dyDescent="0.25">
      <c r="A62">
        <v>140500</v>
      </c>
      <c r="B62" t="s">
        <v>253</v>
      </c>
      <c r="E62" t="s">
        <v>218</v>
      </c>
      <c r="F62" t="s">
        <v>231</v>
      </c>
      <c r="G62" t="s">
        <v>218</v>
      </c>
    </row>
    <row r="63" spans="1:9" x14ac:dyDescent="0.25">
      <c r="A63">
        <v>140600</v>
      </c>
      <c r="B63" t="s">
        <v>71</v>
      </c>
      <c r="E63" t="s">
        <v>576</v>
      </c>
      <c r="F63" t="s">
        <v>577</v>
      </c>
      <c r="G63" t="s">
        <v>576</v>
      </c>
    </row>
    <row r="64" spans="1:9" x14ac:dyDescent="0.25">
      <c r="B64" t="s">
        <v>71</v>
      </c>
      <c r="E64" t="s">
        <v>652</v>
      </c>
      <c r="F64" t="s">
        <v>651</v>
      </c>
      <c r="G64" t="s">
        <v>652</v>
      </c>
    </row>
    <row r="65" spans="2:7" x14ac:dyDescent="0.25">
      <c r="B65" t="s">
        <v>71</v>
      </c>
      <c r="E65" t="s">
        <v>654</v>
      </c>
      <c r="F65" t="s">
        <v>656</v>
      </c>
      <c r="G65" t="s">
        <v>654</v>
      </c>
    </row>
    <row r="66" spans="2:7" x14ac:dyDescent="0.25">
      <c r="B66" t="s">
        <v>71</v>
      </c>
      <c r="E66" t="s">
        <v>655</v>
      </c>
      <c r="F66" t="s">
        <v>657</v>
      </c>
      <c r="G66" t="s">
        <v>655</v>
      </c>
    </row>
    <row r="67" spans="2:7" x14ac:dyDescent="0.25">
      <c r="E67" t="s">
        <v>706</v>
      </c>
      <c r="F67" t="s">
        <v>701</v>
      </c>
      <c r="G67" t="s">
        <v>706</v>
      </c>
    </row>
    <row r="68" spans="2:7" x14ac:dyDescent="0.25">
      <c r="E68" t="s">
        <v>707</v>
      </c>
      <c r="F68" t="s">
        <v>702</v>
      </c>
      <c r="G68" t="s">
        <v>707</v>
      </c>
    </row>
    <row r="69" spans="2:7" x14ac:dyDescent="0.25">
      <c r="E69" t="s">
        <v>708</v>
      </c>
      <c r="F69" t="s">
        <v>703</v>
      </c>
      <c r="G69" t="s">
        <v>708</v>
      </c>
    </row>
    <row r="70" spans="2:7" x14ac:dyDescent="0.25">
      <c r="E70" t="s">
        <v>709</v>
      </c>
      <c r="F70" t="s">
        <v>704</v>
      </c>
      <c r="G70" t="s">
        <v>709</v>
      </c>
    </row>
    <row r="71" spans="2:7" x14ac:dyDescent="0.25">
      <c r="E71" t="s">
        <v>710</v>
      </c>
      <c r="F71" t="s">
        <v>705</v>
      </c>
      <c r="G71" t="s">
        <v>710</v>
      </c>
    </row>
    <row r="72" spans="2:7" x14ac:dyDescent="0.25">
      <c r="E72" t="s">
        <v>711</v>
      </c>
      <c r="F72" t="s">
        <v>712</v>
      </c>
      <c r="G72" t="s">
        <v>711</v>
      </c>
    </row>
  </sheetData>
  <autoFilter ref="A1:F63" xr:uid="{ECB5174F-0660-4A0A-9D90-22F8ECDAD2B6}"/>
  <sortState xmlns:xlrd2="http://schemas.microsoft.com/office/spreadsheetml/2017/richdata2" ref="A2:F62">
    <sortCondition ref="A1"/>
  </sortState>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56B1-FB89-430B-A545-16D0BD3FB63B}">
  <dimension ref="A1:N103"/>
  <sheetViews>
    <sheetView workbookViewId="0">
      <pane ySplit="1" topLeftCell="A66" activePane="bottomLeft" state="frozen"/>
      <selection pane="bottomLeft" activeCell="B77" sqref="B77"/>
    </sheetView>
  </sheetViews>
  <sheetFormatPr defaultRowHeight="13.8" x14ac:dyDescent="0.25"/>
  <cols>
    <col min="2" max="2" width="35" customWidth="1"/>
    <col min="3" max="3" width="9.44140625" customWidth="1"/>
    <col min="4" max="4" width="12.5546875" customWidth="1"/>
    <col min="5" max="5" width="56.44140625" customWidth="1"/>
    <col min="6" max="6" width="10.88671875" customWidth="1"/>
    <col min="7" max="7" width="21.88671875" customWidth="1"/>
    <col min="8" max="8" width="10.5546875" bestFit="1" customWidth="1"/>
    <col min="9" max="9" width="15" customWidth="1"/>
  </cols>
  <sheetData>
    <row r="1" spans="1:14" x14ac:dyDescent="0.25">
      <c r="A1" t="s">
        <v>12</v>
      </c>
      <c r="B1" t="s">
        <v>10</v>
      </c>
      <c r="C1" t="s">
        <v>11</v>
      </c>
      <c r="D1" t="s">
        <v>475</v>
      </c>
      <c r="E1" t="s">
        <v>167</v>
      </c>
      <c r="F1" t="s">
        <v>385</v>
      </c>
      <c r="G1" t="s">
        <v>344</v>
      </c>
      <c r="H1" t="s">
        <v>345</v>
      </c>
      <c r="I1" t="s">
        <v>346</v>
      </c>
      <c r="J1" t="s">
        <v>347</v>
      </c>
      <c r="K1" t="s">
        <v>348</v>
      </c>
      <c r="L1" t="s">
        <v>349</v>
      </c>
      <c r="M1" t="s">
        <v>350</v>
      </c>
      <c r="N1" t="s">
        <v>351</v>
      </c>
    </row>
    <row r="2" spans="1:14" x14ac:dyDescent="0.25">
      <c r="A2">
        <v>901000</v>
      </c>
      <c r="B2" t="s">
        <v>359</v>
      </c>
      <c r="C2" t="s">
        <v>337</v>
      </c>
      <c r="E2" t="s">
        <v>384</v>
      </c>
      <c r="F2" t="s">
        <v>383</v>
      </c>
    </row>
    <row r="3" spans="1:14" x14ac:dyDescent="0.25">
      <c r="A3">
        <v>901001</v>
      </c>
      <c r="B3" t="s">
        <v>473</v>
      </c>
      <c r="C3" t="s">
        <v>337</v>
      </c>
      <c r="E3" t="s">
        <v>472</v>
      </c>
    </row>
    <row r="4" spans="1:14" x14ac:dyDescent="0.25">
      <c r="A4">
        <v>901005</v>
      </c>
      <c r="B4" t="s">
        <v>358</v>
      </c>
      <c r="C4" t="s">
        <v>337</v>
      </c>
      <c r="E4" t="s">
        <v>382</v>
      </c>
      <c r="F4" t="s">
        <v>383</v>
      </c>
    </row>
    <row r="5" spans="1:14" x14ac:dyDescent="0.25">
      <c r="A5">
        <v>901010</v>
      </c>
      <c r="B5" t="s">
        <v>443</v>
      </c>
      <c r="C5" t="s">
        <v>337</v>
      </c>
      <c r="E5" t="s">
        <v>583</v>
      </c>
    </row>
    <row r="6" spans="1:14" x14ac:dyDescent="0.25">
      <c r="A6">
        <v>901020</v>
      </c>
      <c r="B6" t="s">
        <v>673</v>
      </c>
      <c r="C6" t="s">
        <v>337</v>
      </c>
      <c r="E6" t="s">
        <v>333</v>
      </c>
    </row>
    <row r="7" spans="1:14" x14ac:dyDescent="0.25">
      <c r="A7">
        <v>901030</v>
      </c>
      <c r="B7" t="s">
        <v>360</v>
      </c>
      <c r="C7" t="s">
        <v>337</v>
      </c>
      <c r="E7" t="s">
        <v>335</v>
      </c>
    </row>
    <row r="8" spans="1:14" x14ac:dyDescent="0.25">
      <c r="A8">
        <v>901040</v>
      </c>
      <c r="B8" t="s">
        <v>674</v>
      </c>
      <c r="C8" t="s">
        <v>337</v>
      </c>
      <c r="E8" t="s">
        <v>338</v>
      </c>
    </row>
    <row r="9" spans="1:14" x14ac:dyDescent="0.25">
      <c r="A9">
        <v>901050</v>
      </c>
      <c r="B9" t="s">
        <v>371</v>
      </c>
      <c r="C9" t="s">
        <v>337</v>
      </c>
      <c r="E9" t="s">
        <v>102</v>
      </c>
    </row>
    <row r="10" spans="1:14" x14ac:dyDescent="0.25">
      <c r="A10">
        <v>901070</v>
      </c>
      <c r="B10" t="s">
        <v>362</v>
      </c>
      <c r="C10" t="s">
        <v>337</v>
      </c>
      <c r="E10" t="s">
        <v>59</v>
      </c>
    </row>
    <row r="11" spans="1:14" x14ac:dyDescent="0.25">
      <c r="A11">
        <v>901080</v>
      </c>
      <c r="B11" t="s">
        <v>363</v>
      </c>
      <c r="C11" t="s">
        <v>337</v>
      </c>
      <c r="D11" t="s">
        <v>4</v>
      </c>
      <c r="E11" t="s">
        <v>146</v>
      </c>
    </row>
    <row r="12" spans="1:14" x14ac:dyDescent="0.25">
      <c r="A12">
        <v>901090</v>
      </c>
      <c r="B12" t="s">
        <v>364</v>
      </c>
      <c r="C12" t="s">
        <v>337</v>
      </c>
      <c r="E12" t="s">
        <v>334</v>
      </c>
    </row>
    <row r="13" spans="1:14" x14ac:dyDescent="0.25">
      <c r="A13">
        <v>901100</v>
      </c>
      <c r="B13" t="s">
        <v>376</v>
      </c>
      <c r="C13" t="s">
        <v>337</v>
      </c>
      <c r="D13" t="s">
        <v>31</v>
      </c>
      <c r="E13" t="s">
        <v>64</v>
      </c>
    </row>
    <row r="14" spans="1:14" x14ac:dyDescent="0.25">
      <c r="A14">
        <v>901110</v>
      </c>
      <c r="B14" t="s">
        <v>365</v>
      </c>
      <c r="C14" t="s">
        <v>337</v>
      </c>
      <c r="E14" t="s">
        <v>63</v>
      </c>
    </row>
    <row r="15" spans="1:14" x14ac:dyDescent="0.25">
      <c r="A15">
        <v>901120</v>
      </c>
      <c r="B15" t="s">
        <v>366</v>
      </c>
      <c r="C15" t="s">
        <v>337</v>
      </c>
      <c r="E15" t="s">
        <v>736</v>
      </c>
      <c r="F15" t="s">
        <v>469</v>
      </c>
    </row>
    <row r="16" spans="1:14" x14ac:dyDescent="0.25">
      <c r="A16">
        <v>901130</v>
      </c>
      <c r="B16" t="s">
        <v>468</v>
      </c>
      <c r="C16" t="s">
        <v>337</v>
      </c>
      <c r="E16" t="s">
        <v>737</v>
      </c>
      <c r="F16" t="s">
        <v>470</v>
      </c>
    </row>
    <row r="17" spans="1:5" x14ac:dyDescent="0.25">
      <c r="A17">
        <v>901140</v>
      </c>
      <c r="B17" t="s">
        <v>367</v>
      </c>
      <c r="C17" t="s">
        <v>337</v>
      </c>
      <c r="E17" t="s">
        <v>496</v>
      </c>
    </row>
    <row r="18" spans="1:5" x14ac:dyDescent="0.25">
      <c r="A18">
        <v>901150</v>
      </c>
      <c r="B18" t="s">
        <v>413</v>
      </c>
      <c r="C18" t="s">
        <v>337</v>
      </c>
      <c r="D18" t="s">
        <v>368</v>
      </c>
      <c r="E18" t="s">
        <v>494</v>
      </c>
    </row>
    <row r="19" spans="1:5" x14ac:dyDescent="0.25">
      <c r="A19">
        <v>901160</v>
      </c>
      <c r="B19" t="s">
        <v>369</v>
      </c>
      <c r="C19" t="s">
        <v>337</v>
      </c>
      <c r="E19" t="s">
        <v>370</v>
      </c>
    </row>
    <row r="20" spans="1:5" x14ac:dyDescent="0.25">
      <c r="A20">
        <v>901170</v>
      </c>
      <c r="B20" t="s">
        <v>689</v>
      </c>
      <c r="C20" t="s">
        <v>337</v>
      </c>
      <c r="D20" t="s">
        <v>372</v>
      </c>
      <c r="E20" t="s">
        <v>514</v>
      </c>
    </row>
    <row r="21" spans="1:5" x14ac:dyDescent="0.25">
      <c r="A21">
        <v>901180</v>
      </c>
      <c r="B21" t="s">
        <v>402</v>
      </c>
      <c r="C21" t="s">
        <v>337</v>
      </c>
      <c r="D21" t="s">
        <v>373</v>
      </c>
      <c r="E21" t="s">
        <v>387</v>
      </c>
    </row>
    <row r="22" spans="1:5" x14ac:dyDescent="0.25">
      <c r="A22">
        <v>901190</v>
      </c>
      <c r="B22" t="s">
        <v>671</v>
      </c>
      <c r="C22" t="s">
        <v>337</v>
      </c>
      <c r="E22" t="s">
        <v>672</v>
      </c>
    </row>
    <row r="23" spans="1:5" x14ac:dyDescent="0.25">
      <c r="A23">
        <v>901195</v>
      </c>
      <c r="B23" t="s">
        <v>404</v>
      </c>
      <c r="C23" t="s">
        <v>337</v>
      </c>
      <c r="E23" t="s">
        <v>509</v>
      </c>
    </row>
    <row r="24" spans="1:5" x14ac:dyDescent="0.25">
      <c r="A24">
        <v>901200</v>
      </c>
      <c r="B24" t="s">
        <v>375</v>
      </c>
      <c r="C24" t="s">
        <v>337</v>
      </c>
      <c r="E24" t="s">
        <v>92</v>
      </c>
    </row>
    <row r="25" spans="1:5" x14ac:dyDescent="0.25">
      <c r="A25">
        <v>901210</v>
      </c>
      <c r="B25" t="s">
        <v>361</v>
      </c>
      <c r="C25" t="s">
        <v>337</v>
      </c>
      <c r="E25" t="s">
        <v>17</v>
      </c>
    </row>
    <row r="26" spans="1:5" x14ac:dyDescent="0.25">
      <c r="A26">
        <v>901230</v>
      </c>
      <c r="B26" t="s">
        <v>377</v>
      </c>
      <c r="C26" t="s">
        <v>337</v>
      </c>
      <c r="E26" t="s">
        <v>342</v>
      </c>
    </row>
    <row r="27" spans="1:5" x14ac:dyDescent="0.25">
      <c r="A27">
        <v>901240</v>
      </c>
      <c r="B27" t="s">
        <v>378</v>
      </c>
      <c r="C27" t="s">
        <v>337</v>
      </c>
      <c r="E27" t="s">
        <v>43</v>
      </c>
    </row>
    <row r="28" spans="1:5" x14ac:dyDescent="0.25">
      <c r="A28">
        <v>901250</v>
      </c>
      <c r="B28" t="s">
        <v>380</v>
      </c>
      <c r="C28" t="s">
        <v>337</v>
      </c>
      <c r="E28" t="s">
        <v>493</v>
      </c>
    </row>
    <row r="29" spans="1:5" x14ac:dyDescent="0.25">
      <c r="A29">
        <v>901260</v>
      </c>
      <c r="B29" t="s">
        <v>391</v>
      </c>
      <c r="C29" t="s">
        <v>337</v>
      </c>
      <c r="E29" t="s">
        <v>513</v>
      </c>
    </row>
    <row r="30" spans="1:5" x14ac:dyDescent="0.25">
      <c r="A30">
        <v>901270</v>
      </c>
      <c r="B30" t="s">
        <v>392</v>
      </c>
      <c r="C30" t="s">
        <v>337</v>
      </c>
      <c r="D30" t="s">
        <v>460</v>
      </c>
      <c r="E30" t="s">
        <v>343</v>
      </c>
    </row>
    <row r="31" spans="1:5" x14ac:dyDescent="0.25">
      <c r="A31">
        <v>901280</v>
      </c>
      <c r="B31" t="s">
        <v>410</v>
      </c>
      <c r="C31" t="s">
        <v>337</v>
      </c>
      <c r="E31" t="s">
        <v>515</v>
      </c>
    </row>
    <row r="32" spans="1:5" x14ac:dyDescent="0.25">
      <c r="A32">
        <v>901290</v>
      </c>
      <c r="B32" t="s">
        <v>412</v>
      </c>
      <c r="C32" t="s">
        <v>337</v>
      </c>
      <c r="E32" t="s">
        <v>100</v>
      </c>
    </row>
    <row r="33" spans="1:5" x14ac:dyDescent="0.25">
      <c r="A33">
        <v>901300</v>
      </c>
      <c r="B33" t="s">
        <v>393</v>
      </c>
      <c r="C33" t="s">
        <v>337</v>
      </c>
      <c r="E33" t="s">
        <v>500</v>
      </c>
    </row>
    <row r="34" spans="1:5" x14ac:dyDescent="0.25">
      <c r="A34">
        <v>901310</v>
      </c>
      <c r="B34" t="s">
        <v>530</v>
      </c>
      <c r="C34" t="s">
        <v>337</v>
      </c>
      <c r="E34" t="s">
        <v>531</v>
      </c>
    </row>
    <row r="35" spans="1:5" x14ac:dyDescent="0.25">
      <c r="A35">
        <v>901330</v>
      </c>
      <c r="B35" t="s">
        <v>406</v>
      </c>
      <c r="C35" t="s">
        <v>337</v>
      </c>
      <c r="D35" t="s">
        <v>394</v>
      </c>
      <c r="E35" t="s">
        <v>517</v>
      </c>
    </row>
    <row r="36" spans="1:5" x14ac:dyDescent="0.25">
      <c r="A36">
        <v>901340</v>
      </c>
      <c r="B36" t="s">
        <v>396</v>
      </c>
      <c r="C36" t="s">
        <v>337</v>
      </c>
      <c r="E36" t="s">
        <v>516</v>
      </c>
    </row>
    <row r="37" spans="1:5" x14ac:dyDescent="0.25">
      <c r="A37">
        <v>901350</v>
      </c>
      <c r="B37" t="s">
        <v>408</v>
      </c>
      <c r="C37" t="s">
        <v>337</v>
      </c>
      <c r="E37" t="s">
        <v>694</v>
      </c>
    </row>
    <row r="38" spans="1:5" x14ac:dyDescent="0.25">
      <c r="A38">
        <v>901360</v>
      </c>
      <c r="B38" t="s">
        <v>497</v>
      </c>
      <c r="C38" t="s">
        <v>337</v>
      </c>
      <c r="E38" t="s">
        <v>499</v>
      </c>
    </row>
    <row r="39" spans="1:5" x14ac:dyDescent="0.25">
      <c r="A39">
        <v>901380</v>
      </c>
      <c r="B39" t="s">
        <v>397</v>
      </c>
      <c r="C39" t="s">
        <v>337</v>
      </c>
      <c r="E39" t="s">
        <v>584</v>
      </c>
    </row>
    <row r="40" spans="1:5" x14ac:dyDescent="0.25">
      <c r="A40">
        <v>901390</v>
      </c>
      <c r="B40" t="s">
        <v>685</v>
      </c>
      <c r="C40" t="s">
        <v>337</v>
      </c>
      <c r="E40" t="s">
        <v>510</v>
      </c>
    </row>
    <row r="41" spans="1:5" x14ac:dyDescent="0.25">
      <c r="A41">
        <v>901400</v>
      </c>
      <c r="B41" t="s">
        <v>398</v>
      </c>
      <c r="C41" t="s">
        <v>337</v>
      </c>
      <c r="E41" t="s">
        <v>511</v>
      </c>
    </row>
    <row r="42" spans="1:5" x14ac:dyDescent="0.25">
      <c r="A42">
        <v>901410</v>
      </c>
      <c r="B42" t="s">
        <v>399</v>
      </c>
      <c r="C42" t="s">
        <v>337</v>
      </c>
      <c r="E42" t="s">
        <v>507</v>
      </c>
    </row>
    <row r="43" spans="1:5" x14ac:dyDescent="0.25">
      <c r="A43">
        <v>901420</v>
      </c>
      <c r="B43" t="s">
        <v>458</v>
      </c>
      <c r="C43" t="s">
        <v>337</v>
      </c>
      <c r="E43" t="s">
        <v>459</v>
      </c>
    </row>
    <row r="44" spans="1:5" x14ac:dyDescent="0.25">
      <c r="A44">
        <v>901430</v>
      </c>
      <c r="B44" t="s">
        <v>466</v>
      </c>
      <c r="C44" t="s">
        <v>337</v>
      </c>
      <c r="E44" t="s">
        <v>464</v>
      </c>
    </row>
    <row r="45" spans="1:5" x14ac:dyDescent="0.25">
      <c r="A45">
        <v>901440</v>
      </c>
      <c r="B45" t="s">
        <v>561</v>
      </c>
      <c r="C45" t="s">
        <v>337</v>
      </c>
      <c r="E45" t="s">
        <v>564</v>
      </c>
    </row>
    <row r="46" spans="1:5" x14ac:dyDescent="0.25">
      <c r="A46">
        <v>901450</v>
      </c>
      <c r="B46" t="s">
        <v>560</v>
      </c>
      <c r="C46" t="s">
        <v>337</v>
      </c>
      <c r="E46" t="s">
        <v>559</v>
      </c>
    </row>
    <row r="47" spans="1:5" x14ac:dyDescent="0.25">
      <c r="A47">
        <v>901460</v>
      </c>
      <c r="B47" t="s">
        <v>563</v>
      </c>
      <c r="C47" t="s">
        <v>337</v>
      </c>
      <c r="E47" t="s">
        <v>562</v>
      </c>
    </row>
    <row r="48" spans="1:5" x14ac:dyDescent="0.25">
      <c r="A48">
        <v>901470</v>
      </c>
      <c r="B48" t="s">
        <v>565</v>
      </c>
      <c r="C48" t="s">
        <v>337</v>
      </c>
      <c r="E48" t="s">
        <v>45</v>
      </c>
    </row>
    <row r="49" spans="1:14" x14ac:dyDescent="0.25">
      <c r="A49">
        <v>901480</v>
      </c>
      <c r="B49" t="s">
        <v>567</v>
      </c>
      <c r="C49" t="s">
        <v>337</v>
      </c>
      <c r="E49" t="s">
        <v>566</v>
      </c>
    </row>
    <row r="50" spans="1:14" x14ac:dyDescent="0.25">
      <c r="B50" t="s">
        <v>598</v>
      </c>
      <c r="C50" t="s">
        <v>337</v>
      </c>
      <c r="E50" t="s">
        <v>354</v>
      </c>
    </row>
    <row r="51" spans="1:14" x14ac:dyDescent="0.25">
      <c r="B51" t="s">
        <v>680</v>
      </c>
      <c r="C51" t="s">
        <v>679</v>
      </c>
      <c r="D51" t="s">
        <v>676</v>
      </c>
      <c r="E51" t="s">
        <v>681</v>
      </c>
    </row>
    <row r="52" spans="1:14" x14ac:dyDescent="0.25">
      <c r="B52" t="s">
        <v>692</v>
      </c>
      <c r="C52" t="s">
        <v>679</v>
      </c>
      <c r="D52" t="s">
        <v>688</v>
      </c>
      <c r="E52" t="s">
        <v>693</v>
      </c>
    </row>
    <row r="53" spans="1:14" x14ac:dyDescent="0.25">
      <c r="B53" t="s">
        <v>687</v>
      </c>
      <c r="C53" t="s">
        <v>336</v>
      </c>
      <c r="D53" t="s">
        <v>688</v>
      </c>
      <c r="E53" t="s">
        <v>357</v>
      </c>
      <c r="G53" t="s">
        <v>358</v>
      </c>
      <c r="H53">
        <v>10650</v>
      </c>
      <c r="I53" t="s">
        <v>692</v>
      </c>
      <c r="J53">
        <v>0</v>
      </c>
    </row>
    <row r="54" spans="1:14" x14ac:dyDescent="0.25">
      <c r="B54" t="s">
        <v>678</v>
      </c>
      <c r="C54" t="s">
        <v>336</v>
      </c>
      <c r="D54" t="s">
        <v>6</v>
      </c>
      <c r="E54" t="s">
        <v>341</v>
      </c>
      <c r="G54" t="s">
        <v>482</v>
      </c>
      <c r="H54">
        <v>14070</v>
      </c>
      <c r="I54" t="s">
        <v>674</v>
      </c>
      <c r="J54">
        <v>1</v>
      </c>
      <c r="K54" t="s">
        <v>674</v>
      </c>
      <c r="L54">
        <v>1</v>
      </c>
      <c r="M54" t="s">
        <v>674</v>
      </c>
      <c r="N54">
        <v>1</v>
      </c>
    </row>
    <row r="55" spans="1:14" x14ac:dyDescent="0.25">
      <c r="A55">
        <v>30</v>
      </c>
      <c r="B55" t="s">
        <v>501</v>
      </c>
      <c r="C55" t="s">
        <v>336</v>
      </c>
      <c r="D55" t="s">
        <v>122</v>
      </c>
      <c r="E55" t="s">
        <v>381</v>
      </c>
      <c r="F55" t="s">
        <v>474</v>
      </c>
      <c r="G55" t="s">
        <v>482</v>
      </c>
      <c r="H55">
        <v>10330</v>
      </c>
    </row>
    <row r="56" spans="1:14" x14ac:dyDescent="0.25">
      <c r="A56">
        <v>31</v>
      </c>
      <c r="B56" t="s">
        <v>440</v>
      </c>
      <c r="C56" t="s">
        <v>336</v>
      </c>
      <c r="D56" t="s">
        <v>431</v>
      </c>
      <c r="E56" t="s">
        <v>134</v>
      </c>
      <c r="G56" t="s">
        <v>495</v>
      </c>
      <c r="H56">
        <v>10310</v>
      </c>
      <c r="I56" t="s">
        <v>465</v>
      </c>
      <c r="J56">
        <v>0</v>
      </c>
    </row>
    <row r="57" spans="1:14" x14ac:dyDescent="0.25">
      <c r="A57">
        <v>32</v>
      </c>
      <c r="B57" t="s">
        <v>451</v>
      </c>
      <c r="C57" t="s">
        <v>336</v>
      </c>
      <c r="D57" t="s">
        <v>124</v>
      </c>
      <c r="E57" t="s">
        <v>332</v>
      </c>
      <c r="G57" t="s">
        <v>495</v>
      </c>
      <c r="H57">
        <v>10320</v>
      </c>
      <c r="I57" t="s">
        <v>481</v>
      </c>
      <c r="J57">
        <v>10321</v>
      </c>
    </row>
    <row r="58" spans="1:14" x14ac:dyDescent="0.25">
      <c r="A58">
        <v>33</v>
      </c>
      <c r="B58" t="s">
        <v>441</v>
      </c>
      <c r="C58" t="s">
        <v>336</v>
      </c>
      <c r="D58" t="s">
        <v>125</v>
      </c>
      <c r="E58" t="s">
        <v>386</v>
      </c>
      <c r="F58" t="s">
        <v>474</v>
      </c>
      <c r="G58" t="s">
        <v>478</v>
      </c>
      <c r="H58">
        <v>1</v>
      </c>
      <c r="I58" t="s">
        <v>482</v>
      </c>
      <c r="J58">
        <v>10330</v>
      </c>
      <c r="K58" t="s">
        <v>403</v>
      </c>
      <c r="L58">
        <v>1</v>
      </c>
    </row>
    <row r="59" spans="1:14" x14ac:dyDescent="0.25">
      <c r="A59">
        <v>34</v>
      </c>
      <c r="B59" t="s">
        <v>422</v>
      </c>
      <c r="C59" t="s">
        <v>336</v>
      </c>
      <c r="D59" t="s">
        <v>426</v>
      </c>
      <c r="E59" t="s">
        <v>661</v>
      </c>
      <c r="F59" t="s">
        <v>474</v>
      </c>
      <c r="G59" t="s">
        <v>495</v>
      </c>
      <c r="H59">
        <v>10340</v>
      </c>
      <c r="I59" t="s">
        <v>481</v>
      </c>
      <c r="J59">
        <v>10341</v>
      </c>
    </row>
    <row r="60" spans="1:14" x14ac:dyDescent="0.25">
      <c r="A60">
        <v>35</v>
      </c>
      <c r="B60" t="s">
        <v>429</v>
      </c>
      <c r="C60" t="s">
        <v>336</v>
      </c>
      <c r="D60" t="s">
        <v>427</v>
      </c>
      <c r="E60" t="s">
        <v>586</v>
      </c>
      <c r="G60" t="s">
        <v>481</v>
      </c>
      <c r="H60">
        <v>10350</v>
      </c>
      <c r="I60" t="s">
        <v>481</v>
      </c>
      <c r="J60">
        <v>10351</v>
      </c>
    </row>
    <row r="61" spans="1:14" x14ac:dyDescent="0.25">
      <c r="A61">
        <v>36</v>
      </c>
      <c r="B61" t="s">
        <v>434</v>
      </c>
      <c r="C61" t="s">
        <v>336</v>
      </c>
      <c r="D61" t="s">
        <v>432</v>
      </c>
      <c r="E61" t="s">
        <v>142</v>
      </c>
      <c r="G61" t="s">
        <v>481</v>
      </c>
      <c r="H61">
        <v>10360</v>
      </c>
      <c r="I61" t="s">
        <v>481</v>
      </c>
      <c r="J61">
        <v>10361</v>
      </c>
    </row>
    <row r="62" spans="1:14" x14ac:dyDescent="0.25">
      <c r="A62">
        <v>37</v>
      </c>
      <c r="B62" t="s">
        <v>424</v>
      </c>
      <c r="C62" t="s">
        <v>336</v>
      </c>
      <c r="D62" t="s">
        <v>425</v>
      </c>
      <c r="E62" t="s">
        <v>585</v>
      </c>
      <c r="G62" t="s">
        <v>481</v>
      </c>
      <c r="H62">
        <v>10370</v>
      </c>
      <c r="I62" t="s">
        <v>481</v>
      </c>
      <c r="J62">
        <v>10371</v>
      </c>
    </row>
    <row r="63" spans="1:14" x14ac:dyDescent="0.25">
      <c r="A63">
        <v>38</v>
      </c>
      <c r="B63" t="s">
        <v>436</v>
      </c>
      <c r="C63" t="s">
        <v>336</v>
      </c>
      <c r="D63" t="s">
        <v>461</v>
      </c>
      <c r="E63" t="s">
        <v>149</v>
      </c>
      <c r="G63" t="s">
        <v>481</v>
      </c>
      <c r="H63">
        <v>10380</v>
      </c>
      <c r="I63" t="s">
        <v>481</v>
      </c>
      <c r="J63">
        <v>10381</v>
      </c>
    </row>
    <row r="64" spans="1:14" x14ac:dyDescent="0.25">
      <c r="A64">
        <v>39</v>
      </c>
      <c r="B64" t="s">
        <v>438</v>
      </c>
      <c r="C64" t="s">
        <v>336</v>
      </c>
      <c r="D64" t="s">
        <v>430</v>
      </c>
      <c r="E64" t="s">
        <v>139</v>
      </c>
      <c r="G64" t="s">
        <v>481</v>
      </c>
      <c r="H64">
        <v>10390</v>
      </c>
      <c r="I64" t="s">
        <v>481</v>
      </c>
      <c r="J64">
        <v>10391</v>
      </c>
    </row>
    <row r="65" spans="1:12" x14ac:dyDescent="0.25">
      <c r="A65">
        <v>40</v>
      </c>
      <c r="B65" t="s">
        <v>419</v>
      </c>
      <c r="C65" t="s">
        <v>336</v>
      </c>
      <c r="D65" t="s">
        <v>132</v>
      </c>
      <c r="E65" t="s">
        <v>140</v>
      </c>
      <c r="G65" t="s">
        <v>481</v>
      </c>
      <c r="H65">
        <v>34</v>
      </c>
      <c r="I65" t="s">
        <v>481</v>
      </c>
      <c r="J65">
        <v>10401</v>
      </c>
      <c r="K65" t="s">
        <v>481</v>
      </c>
      <c r="L65">
        <v>10402</v>
      </c>
    </row>
    <row r="66" spans="1:12" x14ac:dyDescent="0.25">
      <c r="A66">
        <v>62</v>
      </c>
      <c r="B66" t="s">
        <v>604</v>
      </c>
      <c r="C66" t="s">
        <v>388</v>
      </c>
      <c r="D66" t="s">
        <v>80</v>
      </c>
      <c r="E66" t="s">
        <v>85</v>
      </c>
      <c r="F66" t="s">
        <v>474</v>
      </c>
      <c r="G66" t="s">
        <v>358</v>
      </c>
      <c r="H66">
        <v>10620</v>
      </c>
      <c r="I66" t="s">
        <v>671</v>
      </c>
      <c r="J66">
        <v>1</v>
      </c>
    </row>
    <row r="67" spans="1:12" x14ac:dyDescent="0.25">
      <c r="A67">
        <v>63</v>
      </c>
      <c r="B67" t="s">
        <v>447</v>
      </c>
      <c r="C67" t="s">
        <v>336</v>
      </c>
      <c r="D67" t="s">
        <v>81</v>
      </c>
      <c r="E67" t="s">
        <v>86</v>
      </c>
      <c r="G67" t="s">
        <v>481</v>
      </c>
      <c r="H67">
        <v>10630</v>
      </c>
      <c r="I67" t="s">
        <v>403</v>
      </c>
      <c r="J67">
        <v>1</v>
      </c>
      <c r="K67" t="s">
        <v>458</v>
      </c>
      <c r="L67">
        <v>1</v>
      </c>
    </row>
    <row r="68" spans="1:12" x14ac:dyDescent="0.25">
      <c r="A68">
        <v>64</v>
      </c>
      <c r="B68" t="s">
        <v>455</v>
      </c>
      <c r="C68" t="s">
        <v>336</v>
      </c>
      <c r="D68" t="s">
        <v>82</v>
      </c>
      <c r="E68" t="s">
        <v>87</v>
      </c>
      <c r="G68" t="s">
        <v>478</v>
      </c>
      <c r="H68">
        <v>1</v>
      </c>
      <c r="I68" t="s">
        <v>690</v>
      </c>
      <c r="J68">
        <v>0</v>
      </c>
    </row>
    <row r="69" spans="1:12" x14ac:dyDescent="0.25">
      <c r="A69">
        <v>67</v>
      </c>
      <c r="B69" t="s">
        <v>498</v>
      </c>
      <c r="C69" t="s">
        <v>336</v>
      </c>
      <c r="D69" t="s">
        <v>96</v>
      </c>
      <c r="E69" t="s">
        <v>379</v>
      </c>
      <c r="G69" t="s">
        <v>495</v>
      </c>
      <c r="H69">
        <v>10670</v>
      </c>
    </row>
    <row r="70" spans="1:12" x14ac:dyDescent="0.25">
      <c r="A70">
        <v>71</v>
      </c>
      <c r="B70" t="s">
        <v>603</v>
      </c>
      <c r="C70" t="s">
        <v>336</v>
      </c>
      <c r="D70" t="s">
        <v>420</v>
      </c>
      <c r="E70" t="s">
        <v>339</v>
      </c>
      <c r="G70" t="s">
        <v>481</v>
      </c>
      <c r="H70">
        <v>10710</v>
      </c>
      <c r="I70" t="s">
        <v>467</v>
      </c>
      <c r="J70">
        <v>0</v>
      </c>
    </row>
    <row r="71" spans="1:12" x14ac:dyDescent="0.25">
      <c r="A71">
        <v>72</v>
      </c>
      <c r="B71" t="s">
        <v>445</v>
      </c>
      <c r="C71" t="s">
        <v>336</v>
      </c>
      <c r="D71" t="s">
        <v>107</v>
      </c>
      <c r="E71" t="s">
        <v>108</v>
      </c>
      <c r="G71" t="s">
        <v>480</v>
      </c>
      <c r="H71">
        <v>0</v>
      </c>
      <c r="I71" t="s">
        <v>483</v>
      </c>
      <c r="J71">
        <v>0</v>
      </c>
    </row>
    <row r="72" spans="1:12" x14ac:dyDescent="0.25">
      <c r="A72">
        <v>75</v>
      </c>
      <c r="B72" t="s">
        <v>605</v>
      </c>
      <c r="C72" t="s">
        <v>336</v>
      </c>
      <c r="D72" t="s">
        <v>421</v>
      </c>
      <c r="E72" t="s">
        <v>111</v>
      </c>
      <c r="G72" t="s">
        <v>481</v>
      </c>
      <c r="H72">
        <v>10750</v>
      </c>
      <c r="I72" t="s">
        <v>481</v>
      </c>
      <c r="J72">
        <v>10751</v>
      </c>
    </row>
    <row r="73" spans="1:12" x14ac:dyDescent="0.25">
      <c r="A73">
        <v>77</v>
      </c>
      <c r="B73" t="s">
        <v>453</v>
      </c>
      <c r="C73" t="s">
        <v>336</v>
      </c>
      <c r="D73" t="s">
        <v>119</v>
      </c>
      <c r="E73" t="s">
        <v>374</v>
      </c>
      <c r="G73" t="s">
        <v>479</v>
      </c>
      <c r="H73">
        <v>1</v>
      </c>
      <c r="I73" t="s">
        <v>401</v>
      </c>
      <c r="J73">
        <v>10770</v>
      </c>
    </row>
    <row r="74" spans="1:12" x14ac:dyDescent="0.25">
      <c r="A74">
        <v>1012</v>
      </c>
      <c r="B74" t="s">
        <v>522</v>
      </c>
      <c r="C74" t="s">
        <v>523</v>
      </c>
      <c r="D74" t="s">
        <v>524</v>
      </c>
      <c r="E74" t="s">
        <v>37</v>
      </c>
      <c r="G74" t="s">
        <v>481</v>
      </c>
      <c r="H74">
        <v>1014</v>
      </c>
    </row>
    <row r="75" spans="1:12" x14ac:dyDescent="0.25">
      <c r="A75">
        <v>1044</v>
      </c>
      <c r="B75" t="s">
        <v>528</v>
      </c>
      <c r="C75" t="s">
        <v>523</v>
      </c>
      <c r="D75" t="s">
        <v>529</v>
      </c>
      <c r="E75" t="s">
        <v>48</v>
      </c>
      <c r="G75" t="s">
        <v>481</v>
      </c>
      <c r="H75">
        <v>1046</v>
      </c>
    </row>
    <row r="76" spans="1:12" x14ac:dyDescent="0.25">
      <c r="A76">
        <v>1092</v>
      </c>
      <c r="B76" t="s">
        <v>449</v>
      </c>
      <c r="C76" t="s">
        <v>523</v>
      </c>
      <c r="D76" t="s">
        <v>66</v>
      </c>
      <c r="E76" t="s">
        <v>587</v>
      </c>
      <c r="G76" t="s">
        <v>443</v>
      </c>
      <c r="H76">
        <v>3</v>
      </c>
      <c r="I76" t="s">
        <v>377</v>
      </c>
      <c r="J76">
        <v>3</v>
      </c>
    </row>
    <row r="77" spans="1:12" x14ac:dyDescent="0.25">
      <c r="A77">
        <v>1093</v>
      </c>
      <c r="B77" t="s">
        <v>457</v>
      </c>
      <c r="C77" t="s">
        <v>336</v>
      </c>
      <c r="D77" t="s">
        <v>476</v>
      </c>
      <c r="E77" t="s">
        <v>588</v>
      </c>
      <c r="G77" t="s">
        <v>477</v>
      </c>
      <c r="H77">
        <v>2</v>
      </c>
      <c r="I77" t="s">
        <v>442</v>
      </c>
      <c r="J77">
        <v>5</v>
      </c>
    </row>
    <row r="78" spans="1:12" x14ac:dyDescent="0.25">
      <c r="A78">
        <v>1010010</v>
      </c>
      <c r="B78" t="s">
        <v>353</v>
      </c>
      <c r="C78" t="s">
        <v>170</v>
      </c>
      <c r="E78" t="s">
        <v>168</v>
      </c>
    </row>
    <row r="79" spans="1:12" x14ac:dyDescent="0.25">
      <c r="A79">
        <v>1010020</v>
      </c>
      <c r="B79" t="s">
        <v>594</v>
      </c>
      <c r="C79" t="s">
        <v>170</v>
      </c>
      <c r="E79" t="s">
        <v>595</v>
      </c>
    </row>
    <row r="80" spans="1:12" x14ac:dyDescent="0.25">
      <c r="A80">
        <v>1010030</v>
      </c>
      <c r="B80" t="s">
        <v>352</v>
      </c>
      <c r="C80" t="s">
        <v>170</v>
      </c>
      <c r="E80" t="s">
        <v>117</v>
      </c>
    </row>
    <row r="81" spans="1:12" x14ac:dyDescent="0.25">
      <c r="A81">
        <v>1010060</v>
      </c>
      <c r="B81" t="s">
        <v>355</v>
      </c>
      <c r="C81" t="s">
        <v>170</v>
      </c>
      <c r="E81" t="s">
        <v>340</v>
      </c>
    </row>
    <row r="82" spans="1:12" x14ac:dyDescent="0.25">
      <c r="A82">
        <v>1010070</v>
      </c>
      <c r="B82" t="s">
        <v>356</v>
      </c>
      <c r="C82" t="s">
        <v>170</v>
      </c>
      <c r="E82" t="s">
        <v>57</v>
      </c>
    </row>
    <row r="83" spans="1:12" x14ac:dyDescent="0.25">
      <c r="A83">
        <v>1010080</v>
      </c>
      <c r="B83" t="s">
        <v>417</v>
      </c>
      <c r="C83" t="s">
        <v>170</v>
      </c>
      <c r="E83" t="s">
        <v>153</v>
      </c>
    </row>
    <row r="84" spans="1:12" x14ac:dyDescent="0.25">
      <c r="A84">
        <v>1010090</v>
      </c>
      <c r="B84" t="s">
        <v>506</v>
      </c>
      <c r="C84" t="s">
        <v>170</v>
      </c>
      <c r="E84" t="s">
        <v>505</v>
      </c>
    </row>
    <row r="85" spans="1:12" x14ac:dyDescent="0.25">
      <c r="A85">
        <v>1010100</v>
      </c>
      <c r="B85" t="s">
        <v>518</v>
      </c>
      <c r="C85" t="s">
        <v>519</v>
      </c>
      <c r="E85" t="s">
        <v>520</v>
      </c>
    </row>
    <row r="86" spans="1:12" x14ac:dyDescent="0.25">
      <c r="B86" t="s">
        <v>590</v>
      </c>
      <c r="C86" t="s">
        <v>170</v>
      </c>
      <c r="E86" t="s">
        <v>591</v>
      </c>
    </row>
    <row r="87" spans="1:12" x14ac:dyDescent="0.25">
      <c r="B87" t="s">
        <v>592</v>
      </c>
      <c r="C87" t="s">
        <v>170</v>
      </c>
      <c r="E87" t="s">
        <v>593</v>
      </c>
    </row>
    <row r="88" spans="1:12" x14ac:dyDescent="0.25">
      <c r="B88" t="s">
        <v>647</v>
      </c>
      <c r="C88" t="s">
        <v>170</v>
      </c>
      <c r="E88" t="s">
        <v>646</v>
      </c>
    </row>
    <row r="89" spans="1:12" x14ac:dyDescent="0.25">
      <c r="B89" t="s">
        <v>714</v>
      </c>
      <c r="C89" t="s">
        <v>170</v>
      </c>
      <c r="E89" t="s">
        <v>713</v>
      </c>
    </row>
    <row r="90" spans="1:12" x14ac:dyDescent="0.25">
      <c r="B90" t="s">
        <v>715</v>
      </c>
      <c r="C90" t="s">
        <v>337</v>
      </c>
      <c r="E90" t="s">
        <v>743</v>
      </c>
    </row>
    <row r="91" spans="1:12" x14ac:dyDescent="0.25">
      <c r="B91" t="s">
        <v>721</v>
      </c>
      <c r="C91" t="s">
        <v>336</v>
      </c>
      <c r="E91" t="s">
        <v>716</v>
      </c>
      <c r="G91" t="s">
        <v>717</v>
      </c>
      <c r="H91">
        <v>2</v>
      </c>
      <c r="I91" t="s">
        <v>719</v>
      </c>
      <c r="J91">
        <v>2</v>
      </c>
      <c r="K91" t="s">
        <v>358</v>
      </c>
      <c r="L91">
        <v>-100020</v>
      </c>
    </row>
    <row r="92" spans="1:12" x14ac:dyDescent="0.25">
      <c r="B92" t="s">
        <v>717</v>
      </c>
      <c r="C92" t="s">
        <v>337</v>
      </c>
      <c r="E92" t="s">
        <v>718</v>
      </c>
    </row>
    <row r="93" spans="1:12" x14ac:dyDescent="0.25">
      <c r="B93" t="s">
        <v>719</v>
      </c>
      <c r="C93" t="s">
        <v>337</v>
      </c>
      <c r="E93" t="s">
        <v>720</v>
      </c>
    </row>
    <row r="94" spans="1:12" x14ac:dyDescent="0.25">
      <c r="B94" t="s">
        <v>722</v>
      </c>
      <c r="C94" t="s">
        <v>336</v>
      </c>
      <c r="E94" t="s">
        <v>723</v>
      </c>
    </row>
    <row r="95" spans="1:12" x14ac:dyDescent="0.25">
      <c r="B95" t="s">
        <v>725</v>
      </c>
      <c r="C95" t="s">
        <v>337</v>
      </c>
      <c r="E95" t="s">
        <v>724</v>
      </c>
    </row>
    <row r="96" spans="1:12" x14ac:dyDescent="0.25">
      <c r="B96" t="s">
        <v>726</v>
      </c>
      <c r="C96" t="s">
        <v>337</v>
      </c>
      <c r="E96" t="s">
        <v>727</v>
      </c>
    </row>
    <row r="97" spans="2:8" x14ac:dyDescent="0.25">
      <c r="B97" t="s">
        <v>728</v>
      </c>
      <c r="C97" t="s">
        <v>337</v>
      </c>
      <c r="E97" t="s">
        <v>729</v>
      </c>
    </row>
    <row r="98" spans="2:8" x14ac:dyDescent="0.25">
      <c r="B98" t="s">
        <v>732</v>
      </c>
      <c r="C98" t="s">
        <v>337</v>
      </c>
      <c r="E98" t="s">
        <v>730</v>
      </c>
    </row>
    <row r="99" spans="2:8" x14ac:dyDescent="0.25">
      <c r="B99" t="s">
        <v>733</v>
      </c>
      <c r="C99" t="s">
        <v>337</v>
      </c>
      <c r="E99" t="s">
        <v>731</v>
      </c>
    </row>
    <row r="100" spans="2:8" x14ac:dyDescent="0.25">
      <c r="B100" t="s">
        <v>734</v>
      </c>
      <c r="C100" t="s">
        <v>337</v>
      </c>
      <c r="E100" t="s">
        <v>735</v>
      </c>
    </row>
    <row r="101" spans="2:8" x14ac:dyDescent="0.25">
      <c r="B101" t="s">
        <v>738</v>
      </c>
      <c r="C101" t="s">
        <v>336</v>
      </c>
      <c r="E101" t="s">
        <v>731</v>
      </c>
      <c r="G101" t="s">
        <v>358</v>
      </c>
      <c r="H101">
        <v>-20000060</v>
      </c>
    </row>
    <row r="102" spans="2:8" x14ac:dyDescent="0.25">
      <c r="B102" t="s">
        <v>739</v>
      </c>
      <c r="C102" t="s">
        <v>336</v>
      </c>
      <c r="E102" t="s">
        <v>740</v>
      </c>
      <c r="G102" t="s">
        <v>358</v>
      </c>
      <c r="H102">
        <v>-20000000</v>
      </c>
    </row>
    <row r="103" spans="2:8" x14ac:dyDescent="0.25">
      <c r="B103" t="s">
        <v>741</v>
      </c>
      <c r="C103" t="s">
        <v>337</v>
      </c>
      <c r="E103" t="s">
        <v>742</v>
      </c>
    </row>
  </sheetData>
  <autoFilter ref="A1:E88" xr:uid="{D28856B1-FB89-430B-A545-16D0BD3FB63B}">
    <sortState xmlns:xlrd2="http://schemas.microsoft.com/office/spreadsheetml/2017/richdata2" ref="A2:E82">
      <sortCondition descending="1" ref="C1:C82"/>
    </sortState>
  </autoFilter>
  <sortState xmlns:xlrd2="http://schemas.microsoft.com/office/spreadsheetml/2017/richdata2" ref="A56:N77">
    <sortCondition ref="A56:A77"/>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general</vt:lpstr>
      <vt:lpstr>hide</vt:lpstr>
      <vt:lpstr>rule</vt:lpstr>
      <vt:lpstr>weapon</vt:lpstr>
      <vt:lpstr>buff</vt:lpstr>
      <vt:lpstr>event</vt:lpstr>
      <vt:lpstr>effect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经剑华</dc:creator>
  <cp:lastModifiedBy>剑华 经</cp:lastModifiedBy>
  <dcterms:created xsi:type="dcterms:W3CDTF">2015-06-05T18:19:34Z</dcterms:created>
  <dcterms:modified xsi:type="dcterms:W3CDTF">2026-03-19T07:47:05Z</dcterms:modified>
</cp:coreProperties>
</file>